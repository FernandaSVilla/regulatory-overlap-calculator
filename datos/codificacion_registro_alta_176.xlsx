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Libro_codigos" sheetId="2" state="visible" r:id="rId4"/>
    <sheet name="Codificacion" sheetId="3" state="visible" r:id="rId5"/>
    <sheet name="Resumen" sheetId="4" state="visible" r:id="rId6"/>
    <sheet name="Mapa_visibilidad" sheetId="5" state="visible" r:id="rId7"/>
    <sheet name="Mapa_ensayo" sheetId="6" state="visible" r:id="rId8"/>
    <sheet name="Fiabilidad" sheetId="7" state="visible" r:id="rId9"/>
    <sheet name="Fuentes" sheetId="8" state="visible" r:id="rId10"/>
    <sheet name="Auditoria_ECG0" sheetId="9" state="visible" r:id="rId11"/>
    <sheet name="Mapa_ECG0" sheetId="10" state="visible" r:id="rId12"/>
    <sheet name="Mapa_ECG0_ensayo" sheetId="11" state="visible" r:id="rId13"/>
    <sheet name="Solapamientos" sheetId="12" state="visible" r:id="rId14"/>
  </sheets>
  <definedNames>
    <definedName function="false" hidden="true" localSheetId="8" name="_xlnm._FilterDatabase" vbProcedure="false">Auditoria_ECG0!$A$1:$Z$177</definedName>
    <definedName function="false" hidden="true" localSheetId="2" name="_xlnm._FilterDatabase" vbProcedure="false">Codificacion!$A$1:$AP$177</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La columna "confianza" de Codificacion mide la verificación de la cita literal. La confianza de la clasificación E/C/G está en Auditoria_ECG0 (fila 6): 24 clasificaciones tienen confianza media, como indica el ensayo (A.6).</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E19" authorId="0">
      <text>
        <r>
          <rPr>
            <sz val="10"/>
            <rFont val="Arial"/>
            <family val="2"/>
          </rPr>
          <t xml:space="preserve">Sus 2 obligaciones (AIA-16 y AIA-17) se codifican bajo el Reglamento de IA, por lo que aquí se cuenta 0 para no duplicarlas: la columna suma 176.</t>
        </r>
      </text>
    </comment>
  </commentList>
</comments>
</file>

<file path=xl/sharedStrings.xml><?xml version="1.0" encoding="utf-8"?>
<sst xmlns="http://schemas.openxmlformats.org/spreadsheetml/2006/main" count="8929" uniqueCount="1228">
  <si>
    <t xml:space="preserve">Codificación de obligaciones de registro en el alta bancaria digital</t>
  </si>
  <si>
    <t xml:space="preserve">María Fernanda Sánchez Villa · Ensayo para el Premio Federico Prades 2026 · Base de datos del componente A de la metodología</t>
  </si>
  <si>
    <t xml:space="preserve">Qué contiene</t>
  </si>
  <si>
    <t xml:space="preserve">Cada fila de "Codificacion" codifica una obligación concreta relacionada con el alta de un cliente persona física. No todas las obligaciones crean por sí mismas un registro del estado: esa diferencia se explicita en "Auditoria_ECG0".</t>
  </si>
  <si>
    <t xml:space="preserve">Total: 176 obligaciones de 17 instrumentos codificados, agrupados en 9 familias normativas. Se añaden actos de apoyo para verificar modificaciones y fechas de aplicación.</t>
  </si>
  <si>
    <t xml:space="preserve">Hojas</t>
  </si>
  <si>
    <t xml:space="preserve">Libro_codigos: campos, definiciones y valores cerrados admitidos, y la taxonomía de estados E0 a E9.</t>
  </si>
  <si>
    <t xml:space="preserve">Codificacion: base principal. Las columnas S a AC marcan con 1 los estados a los que se refiere cada obligación (calculadas por fórmula).</t>
  </si>
  <si>
    <t xml:space="preserve">Resumen: recuentos por familia, tipo, finalidad y cobertura de solicitudes no culminadas, y la matriz de solapamiento por dato.</t>
  </si>
  <si>
    <t xml:space="preserve">Mapa_visibilidad: recuento descriptivo original por estados y familias. "Mapa_ECG0" ofrece la lectura cualitativa E/C/G/0 más conservadora.</t>
  </si>
  <si>
    <t xml:space="preserve">Fiabilidad: muestra aleatoria del 20 % para la recodificación ciega y el cálculo del porcentaje de acuerdo.</t>
  </si>
  <si>
    <t xml:space="preserve">Fuentes: instrumentos codificados, enlaces y situación temporal. "Auditoria_ECG0" añade trigger, aplicabilidad al corte y límites de reutilización.</t>
  </si>
  <si>
    <t xml:space="preserve">Cómo usar la hoja de fiabilidad (pendiente)</t>
  </si>
  <si>
    <t xml:space="preserve">1. Deja pasar al menos 5 a 7 días desde la última revisión de la codificación.</t>
  </si>
  <si>
    <t xml:space="preserve">2. En "Fiabilidad", lee la norma, el artículo y la cita de cada fila y rellena SOLO las celdas amarillas, sin mirar la hoja "Codificacion". Usa las listas desplegables.</t>
  </si>
  <si>
    <t xml:space="preserve">3. En el campo estado escribe los códigos en orden ascendente separados por punto y coma y espacio (ejemplo: "E4; E8").</t>
  </si>
  <si>
    <t xml:space="preserve">4. El porcentaje de acuerdo por campo y el global se calculan solos en la parte superior. Por encima del 80 % se considera aceptable en análisis de contenido; documenta en el ensayo las discrepancias y cómo las resolviste.</t>
  </si>
  <si>
    <t xml:space="preserve">Convenciones</t>
  </si>
  <si>
    <t xml:space="preserve">Celdas amarillas: entradas que debes rellenar. Texto negro: datos o fórmulas. No edites las columnas calculadas S a AC de "Codificacion".</t>
  </si>
  <si>
    <t xml:space="preserve">Estatus temporal: se distingue entre norma aplicable, norma en vigor con periodo transitorio, obligación condicional y obligación de aplicación futura. Fecha de corte de la auditoría: 5 de octubre de 2026.</t>
  </si>
  <si>
    <t xml:space="preserve">Advertencias de contenido</t>
  </si>
  <si>
    <t xml:space="preserve">AI Act: el Reglamento (UE) 2026/1744, en vigor desde el 27-07-2026, retrasa las secciones 1 a 3 del capítulo III para sistemas de alto riesgo del anexo III al 02-12-2027 e introduce el art. 4 bis. No todo KYC/onboarding es IA de alto riesgo.</t>
  </si>
  <si>
    <t xml:space="preserve">eIDAS 2 (EIDAS-01): la obligación privada de aceptar la EUDI Wallet se activa a los 36 meses de los actos de ejecución de los arts. 5 bis.23 y 5 quater.6; 2027-12-24 se mantiene como fecha estimada y se documenta su base.</t>
  </si>
  <si>
    <t xml:space="preserve">PAD (PAD-02): la versión española del art. 16.3 dice "rechacen", donde la inglesa habla de abrir o rechazar; posible error de traducción anotado.</t>
  </si>
  <si>
    <t xml:space="preserve">Orden ECO/734/2004: la Ley 10/2025 derogó expresamente sus arts. 6 y 9 a 16. La propia Ley 10/2025 entró en vigor el 28-12-2025 y concede 12 meses para adaptar los servicios de atención a la clientela.</t>
  </si>
  <si>
    <t xml:space="preserve">Auditoria_ECG0: auditoría fila por fila con aplicabilidad al corte, trigger, código E/C/G/0, naturaleza del plazo, límites de reutilización y fuente oficial.</t>
  </si>
  <si>
    <t xml:space="preserve">Mapa_ECG0: código dominante por familia y estado. E = evidencia directa; C = cobertura condicional/indirecta; G = gobierna datos/proceso sin exigir registrar el estado; 0 = no identificado.</t>
  </si>
  <si>
    <t xml:space="preserve">Solapamientos: separa solapamiento semántico y probatorio de duplicidad operativa o regulatoria. La duplicidad operativa no se presume a partir de normas públicas.</t>
  </si>
  <si>
    <t xml:space="preserve">Accesibilidad: se codifica solo la Ley 11/2023 (derecho aplicable en España que traspone la Directiva (UE) 2019/882), para no duplicar filas. Sus 16 obligaciones regulan el diseño del canal: se clasifican G, salvo las tres que obligan a informar a la autoridad (C).</t>
  </si>
  <si>
    <t xml:space="preserve">Mapa_ensayo: recuento por estados y motivos de la taxonomía del ensayo (S0-S6, R01-R11). Mapa_ECG0_ensayo: lectura E/C/G/0 en esos mismos códigos (Figura 5 del ensayo).</t>
  </si>
  <si>
    <t xml:space="preserve">Campo</t>
  </si>
  <si>
    <t xml:space="preserve">Definición</t>
  </si>
  <si>
    <t xml:space="preserve">Valores admitidos</t>
  </si>
  <si>
    <t xml:space="preserve">nivel</t>
  </si>
  <si>
    <t xml:space="preserve">tipo</t>
  </si>
  <si>
    <t xml:space="preserve">dato</t>
  </si>
  <si>
    <t xml:space="preserve">finalidad</t>
  </si>
  <si>
    <t xml:space="preserve">destinatario</t>
  </si>
  <si>
    <t xml:space="preserve">ambito</t>
  </si>
  <si>
    <t xml:space="preserve">cubre_no_culminado</t>
  </si>
  <si>
    <t xml:space="preserve">confianza</t>
  </si>
  <si>
    <t xml:space="preserve">id</t>
  </si>
  <si>
    <t xml:space="preserve">Identificador único: prefijo de norma y número correlativo</t>
  </si>
  <si>
    <t xml:space="preserve">PAD-, ES-PAD-, ES-TR-, AMLR-, ES-AML-, EBA-RO-, EBA-DR-, GDPR-, AIA-, DORA-, EIDAS-, ES-EAA-</t>
  </si>
  <si>
    <t xml:space="preserve">UE_reglamento</t>
  </si>
  <si>
    <t xml:space="preserve">Registrar</t>
  </si>
  <si>
    <t xml:space="preserve">Identidad</t>
  </si>
  <si>
    <t xml:space="preserve">Diligencia_debida_AML</t>
  </si>
  <si>
    <t xml:space="preserve">Interesado</t>
  </si>
  <si>
    <t xml:space="preserve">Todas_entidades_obligadas</t>
  </si>
  <si>
    <t xml:space="preserve">Si</t>
  </si>
  <si>
    <t xml:space="preserve">Alta</t>
  </si>
  <si>
    <t xml:space="preserve">familia</t>
  </si>
  <si>
    <t xml:space="preserve">Agrupación normativa usada en el mapa de visibilidad</t>
  </si>
  <si>
    <t xml:space="preserve">Cuenta básica, AML, Directrices EBA, RGPD, AI Act, DORA, eIDAS 2, Accesibilidad, Atención al cliente ES</t>
  </si>
  <si>
    <t xml:space="preserve">UE_directiva</t>
  </si>
  <si>
    <t xml:space="preserve">Conservar</t>
  </si>
  <si>
    <t xml:space="preserve">Documento_identidad</t>
  </si>
  <si>
    <t xml:space="preserve">Prevencion_fraude</t>
  </si>
  <si>
    <t xml:space="preserve">Autoridad_AML</t>
  </si>
  <si>
    <t xml:space="preserve">Cuenta_pago_basica</t>
  </si>
  <si>
    <t xml:space="preserve">Parcial</t>
  </si>
  <si>
    <t xml:space="preserve">Media</t>
  </si>
  <si>
    <t xml:space="preserve">norma</t>
  </si>
  <si>
    <t xml:space="preserve">Instrumento normativo (nombre corto)</t>
  </si>
  <si>
    <t xml:space="preserve">Texto libre</t>
  </si>
  <si>
    <t xml:space="preserve">ES_ley</t>
  </si>
  <si>
    <t xml:space="preserve">Comunicar_autoridad</t>
  </si>
  <si>
    <t xml:space="preserve">Resultado_verificacion</t>
  </si>
  <si>
    <t xml:space="preserve">Transparencia_consumidor</t>
  </si>
  <si>
    <t xml:space="preserve">Banco_de_Espana</t>
  </si>
  <si>
    <t xml:space="preserve">Sistemas_IA_alto_riesgo</t>
  </si>
  <si>
    <t xml:space="preserve">No</t>
  </si>
  <si>
    <t xml:space="preserve">articulo</t>
  </si>
  <si>
    <t xml:space="preserve">Artículo y apartado exactos (o párrafo, en directrices EBA)</t>
  </si>
  <si>
    <t xml:space="preserve">ES_reglamento</t>
  </si>
  <si>
    <t xml:space="preserve">Informar_interesado</t>
  </si>
  <si>
    <t xml:space="preserve">Motivo_decision</t>
  </si>
  <si>
    <t xml:space="preserve">Acceso_inclusion</t>
  </si>
  <si>
    <t xml:space="preserve">Autoridad_proteccion_datos</t>
  </si>
  <si>
    <t xml:space="preserve">Responsable_tratamiento</t>
  </si>
  <si>
    <t xml:space="preserve">Rango del instrumento</t>
  </si>
  <si>
    <t xml:space="preserve">UE_reglamento, UE_directiva, ES_ley, ES_reglamento, Soft_law_EBA</t>
  </si>
  <si>
    <t xml:space="preserve">Soft_law_EBA</t>
  </si>
  <si>
    <t xml:space="preserve">Motivar</t>
  </si>
  <si>
    <t xml:space="preserve">Logs_sistema</t>
  </si>
  <si>
    <t xml:space="preserve">Proteccion_datos</t>
  </si>
  <si>
    <t xml:space="preserve">Autoridad_vigilancia_IA</t>
  </si>
  <si>
    <t xml:space="preserve">Entidades_financieras_DORA</t>
  </si>
  <si>
    <t xml:space="preserve">vigencia</t>
  </si>
  <si>
    <t xml:space="preserve">Situación temporal de aplicación o transición</t>
  </si>
  <si>
    <t xml:space="preserve">Vigente | Aplicable_desde_AAAA-MM-DD | En_vigor_AAAA-MM-DD_adaptacion_hasta_AAAA-MM-DD</t>
  </si>
  <si>
    <t xml:space="preserve">Evaluar_riesgo</t>
  </si>
  <si>
    <t xml:space="preserve">Informacion_tratamiento</t>
  </si>
  <si>
    <t xml:space="preserve">Trazabilidad_IA</t>
  </si>
  <si>
    <t xml:space="preserve">Uso_interno</t>
  </si>
  <si>
    <t xml:space="preserve">Qué exige la obligación</t>
  </si>
  <si>
    <t xml:space="preserve">Registrar, Conservar, Comunicar_autoridad, Informar_interesado, Motivar, Evaluar_riesgo, Supervision_humana, Notificar_incidente, Abstenerse</t>
  </si>
  <si>
    <t xml:space="preserve">Supervision_humana</t>
  </si>
  <si>
    <t xml:space="preserve">Evaluacion_riesgo</t>
  </si>
  <si>
    <t xml:space="preserve">Resiliencia_operativa</t>
  </si>
  <si>
    <t xml:space="preserve">Varios</t>
  </si>
  <si>
    <t xml:space="preserve">estado</t>
  </si>
  <si>
    <t xml:space="preserve">Estados de la taxonomía a los que se refiere (varios, orden ascendente, separados por "; ")</t>
  </si>
  <si>
    <t xml:space="preserve">E0 a E9, TR (ver tabla inferior)</t>
  </si>
  <si>
    <t xml:space="preserve">Notificar_incidente</t>
  </si>
  <si>
    <t xml:space="preserve">Intervencion_humana</t>
  </si>
  <si>
    <t xml:space="preserve">Reclamaciones</t>
  </si>
  <si>
    <t xml:space="preserve">Categoría de dato o evidencia exigida</t>
  </si>
  <si>
    <t xml:space="preserve">Identidad, Documento_identidad, Resultado_verificacion, Motivo_decision, Logs_sistema, Informacion_tratamiento, Evaluacion_riesgo, Intervencion_humana, Incidente_TIC, Proveedor_tercero, Expediente_completo</t>
  </si>
  <si>
    <t xml:space="preserve">Abstenerse</t>
  </si>
  <si>
    <t xml:space="preserve">Incidente_TIC</t>
  </si>
  <si>
    <t xml:space="preserve">Para qué se exige</t>
  </si>
  <si>
    <t xml:space="preserve">Diligencia_debida_AML, Prevencion_fraude, Transparencia_consumidor, Acceso_inclusion, Proteccion_datos, Trazabilidad_IA, Resiliencia_operativa, Reclamaciones</t>
  </si>
  <si>
    <t xml:space="preserve">Proveedor_tercero</t>
  </si>
  <si>
    <t xml:space="preserve">plazo</t>
  </si>
  <si>
    <t xml:space="preserve">Plazo de conservación o de actuación, literal breve</t>
  </si>
  <si>
    <t xml:space="preserve">"5 años", "10 años", "Mínimo 6 meses", "No especificado" u otro literal</t>
  </si>
  <si>
    <t xml:space="preserve">Expediente_completo</t>
  </si>
  <si>
    <t xml:space="preserve">Quién recibe o puede recibir la evidencia</t>
  </si>
  <si>
    <t xml:space="preserve">Interesado, Autoridad_AML, Banco_de_Espana, Autoridad_proteccion_datos, Autoridad_vigilancia_IA, Uso_interno, Varios</t>
  </si>
  <si>
    <t xml:space="preserve">A quién se aplica</t>
  </si>
  <si>
    <t xml:space="preserve">Todas_entidades_obligadas, Cuenta_pago_basica, Sistemas_IA_alto_riesgo, Responsable_tratamiento, Entidades_financieras_DORA</t>
  </si>
  <si>
    <t xml:space="preserve">¿Alcanza, aunque sea en parte, a solicitudes que no terminan en alta?</t>
  </si>
  <si>
    <t xml:space="preserve">Si, Parcial, No</t>
  </si>
  <si>
    <t xml:space="preserve">cita</t>
  </si>
  <si>
    <t xml:space="preserve">Cita literal breve (máx. 35 palabras) del texto oficial en español</t>
  </si>
  <si>
    <t xml:space="preserve">Texto literal; "(...)" indica recorte</t>
  </si>
  <si>
    <t xml:space="preserve">url</t>
  </si>
  <si>
    <t xml:space="preserve">Enlace al texto oficial</t>
  </si>
  <si>
    <t xml:space="preserve">EUR-Lex, BOE, EBA</t>
  </si>
  <si>
    <t xml:space="preserve">Alta: verificado en el texto oficial. Media: pendiente de verificar</t>
  </si>
  <si>
    <t xml:space="preserve">Alta, Media</t>
  </si>
  <si>
    <t xml:space="preserve">notas</t>
  </si>
  <si>
    <t xml:space="preserve">Aclaraciones de codificación</t>
  </si>
  <si>
    <t xml:space="preserve">Taxonomía de estados</t>
  </si>
  <si>
    <t xml:space="preserve">Código</t>
  </si>
  <si>
    <t xml:space="preserve">Estado</t>
  </si>
  <si>
    <t xml:space="preserve">¿Culmina?</t>
  </si>
  <si>
    <t xml:space="preserve">E0</t>
  </si>
  <si>
    <t xml:space="preserve">Iniciado</t>
  </si>
  <si>
    <t xml:space="preserve">En curso</t>
  </si>
  <si>
    <t xml:space="preserve">E1</t>
  </si>
  <si>
    <t xml:space="preserve">Abandono temprano</t>
  </si>
  <si>
    <t xml:space="preserve">E2</t>
  </si>
  <si>
    <t xml:space="preserve">Fallo técnico</t>
  </si>
  <si>
    <t xml:space="preserve">E3</t>
  </si>
  <si>
    <t xml:space="preserve">Documento no admitido</t>
  </si>
  <si>
    <t xml:space="preserve">E4</t>
  </si>
  <si>
    <t xml:space="preserve">Diligencia debida incompleta</t>
  </si>
  <si>
    <t xml:space="preserve">E5</t>
  </si>
  <si>
    <t xml:space="preserve">En revisión manual</t>
  </si>
  <si>
    <t xml:space="preserve">E6</t>
  </si>
  <si>
    <t xml:space="preserve">Revisión sin resolución</t>
  </si>
  <si>
    <t xml:space="preserve">E7</t>
  </si>
  <si>
    <t xml:space="preserve">Desistimiento tras requerimiento</t>
  </si>
  <si>
    <t xml:space="preserve">E8</t>
  </si>
  <si>
    <t xml:space="preserve">Denegación formal</t>
  </si>
  <si>
    <t xml:space="preserve">E9</t>
  </si>
  <si>
    <t xml:space="preserve">Alta completada</t>
  </si>
  <si>
    <t xml:space="preserve">Sí</t>
  </si>
  <si>
    <t xml:space="preserve">TR</t>
  </si>
  <si>
    <t xml:space="preserve">Transversal</t>
  </si>
  <si>
    <t xml:space="preserve">No aplica</t>
  </si>
  <si>
    <t xml:space="preserve">Visibilidad E/C/G/0</t>
  </si>
  <si>
    <t xml:space="preserve">Regla de uso</t>
  </si>
  <si>
    <t xml:space="preserve">E</t>
  </si>
  <si>
    <t xml:space="preserve">Evidencia directa</t>
  </si>
  <si>
    <t xml:space="preserve">La obligación exige documentar, registrar, conservar, motivar o comunicar de forma verificable el evento/estado codificado.</t>
  </si>
  <si>
    <t xml:space="preserve">C</t>
  </si>
  <si>
    <t xml:space="preserve">Cobertura condicional o indirecta</t>
  </si>
  <si>
    <t xml:space="preserve">El estado solo queda visible si se activa un supuesto adicional (p. ej., sospecha AML, incidente TIC, reclamación o IA de alto riesgo).</t>
  </si>
  <si>
    <t xml:space="preserve">G</t>
  </si>
  <si>
    <t xml:space="preserve">Gobernanza del dato/proceso</t>
  </si>
  <si>
    <t xml:space="preserve">La norma gobierna datos, finalidad, minimización, seguridad o proceso asociado, pero no exige registrar ese estado de onboarding como tal.</t>
  </si>
  <si>
    <t xml:space="preserve">0</t>
  </si>
  <si>
    <t xml:space="preserve">No identificado</t>
  </si>
  <si>
    <t xml:space="preserve">En las fuentes revisadas no se identifica una obligación específica que haga visible ese estado.</t>
  </si>
  <si>
    <t xml:space="preserve">Nota</t>
  </si>
  <si>
    <t xml:space="preserve">No equivale a duplicidad</t>
  </si>
  <si>
    <t xml:space="preserve">Solapamiento semántico o probatorio no demuestra duplicidad operativa ni duplicidad regulatoria.</t>
  </si>
  <si>
    <t xml:space="preserve">codigos_ensayo</t>
  </si>
  <si>
    <t xml:space="preserve">S0</t>
  </si>
  <si>
    <t xml:space="preserve">R01</t>
  </si>
  <si>
    <t xml:space="preserve">R02/R03</t>
  </si>
  <si>
    <t xml:space="preserve">R04</t>
  </si>
  <si>
    <t xml:space="preserve">R05</t>
  </si>
  <si>
    <t xml:space="preserve">S3/R06</t>
  </si>
  <si>
    <t xml:space="preserve">R07</t>
  </si>
  <si>
    <t xml:space="preserve">R09</t>
  </si>
  <si>
    <t xml:space="preserve">R10</t>
  </si>
  <si>
    <t xml:space="preserve">S5</t>
  </si>
  <si>
    <t xml:space="preserve">S6</t>
  </si>
  <si>
    <t xml:space="preserve">PAD-01</t>
  </si>
  <si>
    <t xml:space="preserve">Cuenta básica</t>
  </si>
  <si>
    <t xml:space="preserve">Directiva 2014/92/UE (PAD)</t>
  </si>
  <si>
    <t xml:space="preserve">art. 15</t>
  </si>
  <si>
    <t xml:space="preserve">Vigente</t>
  </si>
  <si>
    <t xml:space="preserve">No especificado</t>
  </si>
  <si>
    <t xml:space="preserve">los proveedores de servicios de pago no discriminen a los consumidores que residan legalmente en la Unión por razón de nacionalidad o lugar de residencia (...) cuando soliciten o accedan a una cuenta de pago</t>
  </si>
  <si>
    <t xml:space="preserve">https://eur-lex.europa.eu/legal-content/ES/TXT/HTML/?uri=CELEX:32014L0092</t>
  </si>
  <si>
    <t xml:space="preserve">Se aplica a cualquier cuenta de pago, no solo CPB. Corregida la cita: el sujeto es «proveedores de servicios de pago» (no solo entidades de crédito); incluye cualquier otra razón del art. 21 de la Carta. Verificado en el texto ES de EUR-Lex. Obligación dirigida a los Estados miembros ('velarán por que'), exigible a las entidades a través de la transposición (RDL 19/2017).</t>
  </si>
  <si>
    <t xml:space="preserve">PAD-02</t>
  </si>
  <si>
    <t xml:space="preserve">art. 16.3</t>
  </si>
  <si>
    <t xml:space="preserve">E8; E9</t>
  </si>
  <si>
    <t xml:space="preserve">10 días hábiles desde la recepción de una solicitud completa</t>
  </si>
  <si>
    <t xml:space="preserve">rechacen las solicitudes de acceso (...) sin demora injustificada y, a más tardar en un plazo de diez días hábiles a partir de la recepción de una solicitud completa.</t>
  </si>
  <si>
    <t xml:space="preserve">Obligación de resolver (abrir o denegar) en plazo; el tipo es aproximado. El RDL 19/2017 solo transpone expresamente el plazo para la denegación (art. 5.2). Ojo: la versión ES dice literalmente «rechacen» (la versión inglesa dice tramitar, abrir o rechazar); probable defecto de traducción, la corrección de errores 32014L0092R(01) no tiene versión ES en EUR-Lex y la R(02) no la he comprobado. Verificado en el texto ES de EUR-Lex. Obligación dirigida a los Estados miembros ('velarán por que'), exigible a las entidades a través de la transposición (RDL 19/2017).</t>
  </si>
  <si>
    <t xml:space="preserve">S5; S6</t>
  </si>
  <si>
    <t xml:space="preserve">PAD-03</t>
  </si>
  <si>
    <t xml:space="preserve">art. 16.4</t>
  </si>
  <si>
    <t xml:space="preserve">E4; E8</t>
  </si>
  <si>
    <t xml:space="preserve">las entidades de crédito rechacen las solicitudes de acceso a cuentas de pago básicas siempre que la apertura de una de tales cuentas vulnere las disposiciones relativas a la prevención del blanqueo de capitales</t>
  </si>
  <si>
    <t xml:space="preserve">Remite a la Directiva 2005/60/CE (hoy marco AMLR/AMLD). Verificado en el texto ES de EUR-Lex. Obligación dirigida a los Estados miembros ('velarán por que'), exigible a las entidades a través de la transposición (RDL 19/2017).</t>
  </si>
  <si>
    <t xml:space="preserve">R05; R07; S5</t>
  </si>
  <si>
    <t xml:space="preserve">PAD-04</t>
  </si>
  <si>
    <t xml:space="preserve">art. 16.7</t>
  </si>
  <si>
    <t xml:space="preserve">Inmediatamente tras la decisión</t>
  </si>
  <si>
    <t xml:space="preserve">la entidad de crédito, una vez tomada su decisión, comunique inmediatamente al consumidor la denegación y los motivos específicos de tal denegación, por escrito y de forma gratuita</t>
  </si>
  <si>
    <t xml:space="preserve">Excepción: cuando la comunicación sea contraria a la seguridad nacional, el orden público o la normativa AML. Aplica a denegaciones de los apdos. 4, 5 y 6. Cita corregida al texto literal. Verificado en el texto ES de EUR-Lex. Obligación dirigida a los Estados miembros ('velarán por que'), exigible a las entidades a través de la transposición (RDL 19/2017).</t>
  </si>
  <si>
    <t xml:space="preserve">PAD-05</t>
  </si>
  <si>
    <t xml:space="preserve">comunique inmediatamente al consumidor la denegación y los motivos específicos de tal denegación, por escrito y de forma gratuita, a menos que ello vaya en detrimento de los intereses de seguridad nacional</t>
  </si>
  <si>
    <t xml:space="preserve">Misma excepción AML/seguridad nacional/orden público que PAD-04. Cita corregida al texto literal. Verificado en el texto ES de EUR-Lex. Obligación dirigida a los Estados miembros ('velarán por que'), exigible a las entidades a través de la transposición (RDL 19/2017).</t>
  </si>
  <si>
    <t xml:space="preserve">PAD-06</t>
  </si>
  <si>
    <t xml:space="preserve">la entidad de crédito deberá informar al consumidor del procedimiento que ha de seguir para presentar una reclamación contra la denegación y de su derecho a dirigirse a la autoridad competente correspondiente</t>
  </si>
  <si>
    <t xml:space="preserve">Incluye facilitar los datos de contacto pertinentes. Cita corregida al texto literal. Verificado en el texto ES de EUR-Lex. Obligación dirigida a los Estados miembros ('velarán por que'), exigible a las entidades a través de la transposición (RDL 19/2017).</t>
  </si>
  <si>
    <t xml:space="preserve">PAD-07</t>
  </si>
  <si>
    <t xml:space="preserve">art. 16.8</t>
  </si>
  <si>
    <t xml:space="preserve">en los casos a que se refiere el apartado 4, la entidad de crédito adopte medidas apropiadas con arreglo al capítulo III de la Directiva 2005/60/CE.</t>
  </si>
  <si>
    <t xml:space="preserve">El capítulo III de la Directiva 2005/60/CE regula las obligaciones de comunicación (operaciones sospechosas); codificado como Comunicar_autoridad por esa remisión. Cita corregida al texto literal. Verificado en el texto ES de EUR-Lex. Obligación dirigida a los Estados miembros ('velarán por que'), exigible a las entidades a través de la transposición (RDL 19/2017).</t>
  </si>
  <si>
    <t xml:space="preserve">R05; S5</t>
  </si>
  <si>
    <t xml:space="preserve">PAD-08</t>
  </si>
  <si>
    <t xml:space="preserve">art. 16.9</t>
  </si>
  <si>
    <t xml:space="preserve">E0; E9</t>
  </si>
  <si>
    <t xml:space="preserve">el acceso a una cuenta de pago básica no se supedite a la adquisición de otros servicios o participaciones en el capital de la entidad de crédito, salvo si ello fuera obligatorio</t>
  </si>
  <si>
    <t xml:space="preserve">Salvo que esto último se exija a toda la clientela de la entidad. Cita corregida al texto literal. Verificado en el texto ES de EUR-Lex. Obligación dirigida a los Estados miembros ('velarán por que'), exigible a las entidades a través de la transposición (RDL 19/2017).</t>
  </si>
  <si>
    <t xml:space="preserve">S0; S6</t>
  </si>
  <si>
    <t xml:space="preserve">PAD-09</t>
  </si>
  <si>
    <t xml:space="preserve">art. 20.2</t>
  </si>
  <si>
    <t xml:space="preserve">las entidades de crédito pongan gratuitamente a disposición de los consumidores información y asistencia accesibles y gratuitas sobre las características específicas de sus cuentas de pago básicas</t>
  </si>
  <si>
    <t xml:space="preserve">Información sobre el producto (características, comisiones, condiciones; que no es obligatorio adquirir otros servicios); no existe categoría de dato específica. Cita corregida al texto literal. Verificado en el texto ES de EUR-Lex. Obligación dirigida a los Estados miembros ('velarán por que'), exigible a las entidades a través de la transposición (RDL 19/2017).</t>
  </si>
  <si>
    <t xml:space="preserve">ES-PAD-01</t>
  </si>
  <si>
    <t xml:space="preserve">Real Decreto-ley 19/2017 (cuentas de pago básicas)</t>
  </si>
  <si>
    <t xml:space="preserve">art. 4.1.a)</t>
  </si>
  <si>
    <t xml:space="preserve">E4; E7; E8</t>
  </si>
  <si>
    <t xml:space="preserve">Las entidades de crédito denegarán el acceso [...] cuando [...] El potencial cliente no aporte la información requerida por la entidad en función del nivel de riesgo de blanqueo de capitales</t>
  </si>
  <si>
    <t xml:space="preserve">https://www.boe.es/buscar/act.php?id=BOE-A-2017-13644</t>
  </si>
  <si>
    <t xml:space="preserve">Remite al capítulo II de la Ley 10/2010.</t>
  </si>
  <si>
    <t xml:space="preserve">R05; R07; R10; S5</t>
  </si>
  <si>
    <t xml:space="preserve">ES-PAD-02</t>
  </si>
  <si>
    <t xml:space="preserve">art. 4.1.b)</t>
  </si>
  <si>
    <t xml:space="preserve">su apertura sea contraria a los intereses de la seguridad nacional o de orden público [...] en los supuestos en que así se haya acordado por el Consejo de Ministros</t>
  </si>
  <si>
    <t xml:space="preserve">ES-PAD-03</t>
  </si>
  <si>
    <t xml:space="preserve">art. 4.1.c)</t>
  </si>
  <si>
    <t xml:space="preserve">el potencial cliente ya sea titular en España de una cuenta en un proveedor de servicios de pago que le permita realizar los servicios contemplados en el artículo 8.1</t>
  </si>
  <si>
    <t xml:space="preserve">Denegación obligatoria en España (la PAD la configura como opción). La entidad podrá verificarlo y basarse en una declaración responsable firmada por el cliente.</t>
  </si>
  <si>
    <t xml:space="preserve">ES-PAD-04</t>
  </si>
  <si>
    <t xml:space="preserve">art. 4.1 (párrafo final)</t>
  </si>
  <si>
    <t xml:space="preserve">La entidad conservará los documentos y el análisis realizado en el que se base esta decisión.</t>
  </si>
  <si>
    <t xml:space="preserve">Obligación específica de conservar el expediente de la denegación; sin plazo propio en el RDL.</t>
  </si>
  <si>
    <t xml:space="preserve">ES-PAD-05</t>
  </si>
  <si>
    <t xml:space="preserve">art. 4.2</t>
  </si>
  <si>
    <t xml:space="preserve">El acceso a la cuenta de pago básica no podrá supeditarse a la adquisición de otros servicios, ni a la adquisición de participaciones en el capital</t>
  </si>
  <si>
    <t xml:space="preserve">Salvo que lo imponga la normativa o sea requisito ineludible para toda la clientela.</t>
  </si>
  <si>
    <t xml:space="preserve">ES-PAD-06</t>
  </si>
  <si>
    <t xml:space="preserve">art. 5.1</t>
  </si>
  <si>
    <t xml:space="preserve">La entidad de crédito deberá informar al potencial cliente de la denegación de la apertura de una cuenta de pago básica, a menos que no resulte compatible con lo establecido en la Ley 10/2010</t>
  </si>
  <si>
    <t xml:space="preserve">Excepción también por seguridad nacional u orden público.</t>
  </si>
  <si>
    <t xml:space="preserve">ES-PAD-07</t>
  </si>
  <si>
    <t xml:space="preserve">art. 5.2</t>
  </si>
  <si>
    <t xml:space="preserve">10 días hábiles desde la recepción de la solicitud completa</t>
  </si>
  <si>
    <t xml:space="preserve">La denegación se notificará al potencial cliente por escrito y de manera gratuita, expresando las razones concretas en las que se funda [...] a más tardar en un plazo máximo de diez días hábiles</t>
  </si>
  <si>
    <t xml:space="preserve">ES-PAD-08</t>
  </si>
  <si>
    <t xml:space="preserve">art. 5.3</t>
  </si>
  <si>
    <t xml:space="preserve">Al notificar la denegación</t>
  </si>
  <si>
    <t xml:space="preserve">al notificar el rechazo de la solicitud de apertura, las entidades informarán al potencial cliente del procedimiento que ha de seguir para presentar una reclamación contra la denegación</t>
  </si>
  <si>
    <t xml:space="preserve">Y de su derecho al procedimiento del art. 30 Ley 44/2002 (Banco de España). Véase también art. 6 Orden ECE/228/2019 (la negativa a abrir es reclamable conforme a la DA 1.ª Ley 7/2017).</t>
  </si>
  <si>
    <t xml:space="preserve">ES-PAD-09</t>
  </si>
  <si>
    <t xml:space="preserve">art. 10.2</t>
  </si>
  <si>
    <t xml:space="preserve">se indicará claramente en la publicidad e información facilitada por las entidades de crédito que para tener acceso a una cuenta de pago básica no es obligatorio adquirir otros servicios</t>
  </si>
  <si>
    <t xml:space="preserve">Incluye uso destacado de la denominación «cuenta de pago básica». Información sobre el producto (no hay categoría de dato específica).</t>
  </si>
  <si>
    <t xml:space="preserve">ES-PAD-10</t>
  </si>
  <si>
    <t xml:space="preserve">art. 10.3</t>
  </si>
  <si>
    <t xml:space="preserve">las entidades de crédito deberán tener a disposición de los clientes o potenciales clientes gratuitamente en todos sus canales de distribución al consumidor, información y asistencia</t>
  </si>
  <si>
    <t xml:space="preserve">Sobre servicios incluidos, comisiones y condiciones de uso. Información sobre el producto.</t>
  </si>
  <si>
    <t xml:space="preserve">ES-PAD-11</t>
  </si>
  <si>
    <t xml:space="preserve">Orden ECE/228/2019 (cuentas de pago básicas)</t>
  </si>
  <si>
    <t xml:space="preserve">art. 8.1.e)</t>
  </si>
  <si>
    <t xml:space="preserve">el procedimiento a seguir para la apertura de una cuenta de pago básica, incluyendo, en particular, la información y documentación a presentar</t>
  </si>
  <si>
    <t xml:space="preserve">https://www.boe.es/buscar/act.php?id=BOE-A-2019-3113</t>
  </si>
  <si>
    <t xml:space="preserve">Norma añadida (no listada en el encargo) por desarrollar el art. 10 RDL 19/2017. El art. 8.1 obliga además a aprobar, ejecutar y evaluar el impacto de procedimientos de difusión; el 8.2, medidas para consumidores vulnerables.</t>
  </si>
  <si>
    <t xml:space="preserve">ES-PAD-12</t>
  </si>
  <si>
    <t xml:space="preserve">Real Decreto 164/2019 (gratuidad CPB vulnerables)</t>
  </si>
  <si>
    <t xml:space="preserve">art. 4.4</t>
  </si>
  <si>
    <t xml:space="preserve">Máximo 30 días desde la aportación completa</t>
  </si>
  <si>
    <t xml:space="preserve">El reconocimiento o la denegación de la condición de gratuidad se comunicará al cliente, por escrito y de manera gratuita, en el plazo máximo de treinta días desde la fecha de la aportación completa</t>
  </si>
  <si>
    <t xml:space="preserve">https://www.boe.es/buscar/act.php?id=BOE-A-2019-4906</t>
  </si>
  <si>
    <t xml:space="preserve">Silencio positivo: transcurrido el plazo sin comunicación se entiende reconocida la gratuidad. No exige expresamente motivar. Puede solicitarse en el alta o después (art. 2.2).</t>
  </si>
  <si>
    <t xml:space="preserve">ES-PAD-13</t>
  </si>
  <si>
    <t xml:space="preserve">art. 4.4 (párrafo 2)</t>
  </si>
  <si>
    <t xml:space="preserve">Con la comunicación de la denegación</t>
  </si>
  <si>
    <t xml:space="preserve">El escrito incluirá la información del derecho del cliente a presentar una reclamación contra la denegación, conforme a lo previsto en la disposición adicional segunda.</t>
  </si>
  <si>
    <t xml:space="preserve">ES-PAD-14</t>
  </si>
  <si>
    <t xml:space="preserve">art. 5</t>
  </si>
  <si>
    <t xml:space="preserve">E9; TR</t>
  </si>
  <si>
    <t xml:space="preserve">En el momento de la contratación</t>
  </si>
  <si>
    <t xml:space="preserve">informará a los clientes sobre dichas condiciones en el momento de la contratación de la cuenta de pago básica</t>
  </si>
  <si>
    <t xml:space="preserve">Además, incluir las condiciones de gratuidad en la información general del art. 10 RDL 19/2017 y art. 8 Orden ECE/228/2019 (TR).</t>
  </si>
  <si>
    <t xml:space="preserve">S6; TR</t>
  </si>
  <si>
    <t xml:space="preserve">ES-PAD-15</t>
  </si>
  <si>
    <t xml:space="preserve">art. 7.1</t>
  </si>
  <si>
    <t xml:space="preserve">Mínimo 6 años</t>
  </si>
  <si>
    <t xml:space="preserve">conservarán [...] durante un plazo mínimo de 6 años, la documentación señalada en los artículos 4, 5 y 6, con independencia de si la condición de gratuidad de la cuenta se ha reconocido o no</t>
  </si>
  <si>
    <t xml:space="preserve">Art. 7.2: el cómputo se inicia desde la denegación o desde el fin de la gratuidad. Finalidad declarada: verificar el cumplimiento.</t>
  </si>
  <si>
    <t xml:space="preserve">ES-TR-01</t>
  </si>
  <si>
    <t xml:space="preserve">Atención al cliente ES</t>
  </si>
  <si>
    <t xml:space="preserve">Orden ECO/734/2004 (servicios de atención al cliente)</t>
  </si>
  <si>
    <t xml:space="preserve">art. 3</t>
  </si>
  <si>
    <t xml:space="preserve">las entidades [...] estarán obligadas a atender y resolver las quejas y reclamaciones que sus clientes les presenten, relacionadas con sus intereses y derechos legalmente reconocidos</t>
  </si>
  <si>
    <t xml:space="preserve">https://www.boe.es/buscar/act.php?id=BOE-A-2004-5290</t>
  </si>
  <si>
    <t xml:space="preserve">Aplica a reclamaciones contra la denegación del alta (vía SAC). Orden parcialmente derogada por la Ley 10/2025, de 26 de diciembre (arts. 6 y 9 a 16, incluidos deberes de información, plazos y procedimiento); revisar Ley 10/2025. 'Clientes': alcance sobre potenciales clientes dudoso.</t>
  </si>
  <si>
    <t xml:space="preserve">ES-TR-02</t>
  </si>
  <si>
    <t xml:space="preserve">art. 17.1</t>
  </si>
  <si>
    <t xml:space="preserve">Anual (primer trimestre)</t>
  </si>
  <si>
    <t xml:space="preserve">un informe explicativo del desarrollo de su función durante el ejercicio precedente, que habrá de tener el contenido mínimo siguiente: a) resumen estadístico de las quejas y reclamaciones atendidas</t>
  </si>
  <si>
    <t xml:space="preserve">Informe anual del SAC al consejo; solo alcanza al alta en cuanto haya reclamaciones por denegación. Pertinencia marginal.</t>
  </si>
  <si>
    <t xml:space="preserve">ES-TR-03</t>
  </si>
  <si>
    <t xml:space="preserve">Orden EHA/2899/2011 (transparencia bancaria)</t>
  </si>
  <si>
    <t xml:space="preserve">art. 6</t>
  </si>
  <si>
    <t xml:space="preserve">Con la debida antelación y antes de quedar vinculado</t>
  </si>
  <si>
    <t xml:space="preserve">Las entidades de crédito deberán facilitar de forma gratuita al cliente de servicios bancarios toda la información precontractual que sea legalmente exigible para adoptar una decisión informada</t>
  </si>
  <si>
    <t xml:space="preserve">https://www.boe.es/buscar/act.php?id=BOE-A-2011-16804</t>
  </si>
  <si>
    <t xml:space="preserve">Duda de ámbito: para servicios/cuentas de pago el art. 34 remite a su normativa específica (Orden ECE/1263/2019); aplicable sin duda a depósitos a la vista. Información sobre el producto.</t>
  </si>
  <si>
    <t xml:space="preserve">ES-TR-04</t>
  </si>
  <si>
    <t xml:space="preserve">Las entidades de crédito deberán entregar al cliente el correspondiente ejemplar del documento contractual en que se formalice el servicio recibido.</t>
  </si>
  <si>
    <t xml:space="preserve">Misma duda de ámbito que ES-TR-03.</t>
  </si>
  <si>
    <t xml:space="preserve">ES-TR-05</t>
  </si>
  <si>
    <t xml:space="preserve">art. 7.2</t>
  </si>
  <si>
    <t xml:space="preserve">Las entidades de crédito deberán conservar el documento contractual y poner a disposición del cliente copia del mismo siempre que éste lo solicite.</t>
  </si>
  <si>
    <t xml:space="preserve">ES-TR-06</t>
  </si>
  <si>
    <t xml:space="preserve">art. 9</t>
  </si>
  <si>
    <t xml:space="preserve">Las entidades de crédito deberán facilitar a todo cliente explicaciones adecuadas y suficientes para comprender los términos esenciales de todo servicio bancario ofertado y adoptar una decisión informada</t>
  </si>
  <si>
    <t xml:space="preserve">ES-TR-07</t>
  </si>
  <si>
    <t xml:space="preserve">Ley 44/2002, en la redacción de la Ley 10/2025 (servicios de atención a la clientela)</t>
  </si>
  <si>
    <t xml:space="preserve">DF 2.ª; art. 29.1 párr. 1 Ley 44/2002</t>
  </si>
  <si>
    <t xml:space="preserve">En_vigor_2025-12-28_adaptacion_hasta_2026-12-28</t>
  </si>
  <si>
    <t xml:space="preserve">estarán obligadas a atender y resolver las quejas y reclamaciones que los usuarios de servicios financieros puedan presentar, relacionados con sus intereses y derechos legalmente reconocidos</t>
  </si>
  <si>
    <t xml:space="preserve">https://www.boe.es/buscar/act.php?id=BOE-A-2025-26698</t>
  </si>
  <si>
    <t xml:space="preserve">Sustituye la redacción anterior ('clientes') por 'usuarios de servicios financieros', lo que favorece incluir al solicitante denegado. Deben contar con un departamento o servicio de atención a la clientela. Ley 10/2025 (BOE núm. 312, de 27-12-2025) en vigor el 28-12-2025; plazo de adaptación de doce meses (DT única.1), de ahí 2026-12-28. Que ese plazo alcance a las modificaciones de la Ley 44/2002 (DF 2.ª) es interpretable. Art. 2.5: los servicios financieros se rigen por su normativa sectorial; la Ley 10/2025 es supletoria. Deroga los arts. 6 y 9 a 16 de la Orden ECO/734/2004.</t>
  </si>
  <si>
    <t xml:space="preserve">ES-TR-08</t>
  </si>
  <si>
    <t xml:space="preserve">DF 2.ª; art. 29.1 Ley 44/2002 (párrafos sobre prestación personalizada)</t>
  </si>
  <si>
    <t xml:space="preserve">E8; TR</t>
  </si>
  <si>
    <t xml:space="preserve">deberá disponerse por las entidades de los recursos adecuados que, a través de la atención telefónica, puedan prestar una atención personalizada específica a personas vulnerables o en riesgo de exclusión financiera</t>
  </si>
  <si>
    <t xml:space="preserve">También prohíbe los contestadores automáticos u otros medios análogos como medio exclusivo de atención. La prestación personalizada considera, entre otros, la condición de persona extranjera y su situación administrativa y las competencias digitales. Ley 10/2025 (BOE núm. 312, de 27-12-2025) en vigor el 28-12-2025; plazo de adaptación de doce meses (DT única.1), de ahí 2026-12-28. Que ese plazo alcance a las modificaciones de la Ley 44/2002 (DF 2.ª) es interpretable. Art. 2.5: los servicios financieros se rigen por su normativa sectorial; la Ley 10/2025 es supletoria. Deroga los arts. 6 y 9 a 16 de la Orden ECO/734/2004.</t>
  </si>
  <si>
    <t xml:space="preserve">S5; TR</t>
  </si>
  <si>
    <t xml:space="preserve">ES-TR-09</t>
  </si>
  <si>
    <t xml:space="preserve">DF 2.ª; art. 29.5.b) Ley 44/2002</t>
  </si>
  <si>
    <t xml:space="preserve">Un mes desde la presentación (servicios de pago: art. 69 RDL 19/2018)</t>
  </si>
  <si>
    <t xml:space="preserve">La obligación por parte de la entidad de atender y resolver las quejas y reclamaciones presentadas por su clientela, en el plazo de un mes desde su presentación.</t>
  </si>
  <si>
    <t xml:space="preserve">Información que debe figurar en todas las oficinas y en la web (apdo. 5, letras a-h: existencia del servicio, plazos, canales, registro y constancia, seguimiento, medios de resolución, reglamento, horario). Dato real: información sobre vías de reclamación (sin valor exacto en la lista cerrada). Ley 10/2025 (BOE núm. 312, de 27-12-2025) en vigor el 28-12-2025; plazo de adaptación de doce meses (DT única.1), de ahí 2026-12-28. Que ese plazo alcance a las modificaciones de la Ley 44/2002 (DF 2.ª) es interpretable. Art. 2.5: los servicios financieros se rigen por su normativa sectorial; la Ley 10/2025 es supletoria. Deroga los arts. 6 y 9 a 16 de la Orden ECO/734/2004.</t>
  </si>
  <si>
    <t xml:space="preserve">ES-TR-10</t>
  </si>
  <si>
    <t xml:space="preserve">DF 2.ª; art. 29 quater.1 Ley 44/2002</t>
  </si>
  <si>
    <t xml:space="preserve">se deberá acusar recibo por escrito, en papel o en cualquier otro soporte duradero, y dejar constancia del contenido, la hora y la fecha de presentación a efectos del cómputo de dicho plazo.</t>
  </si>
  <si>
    <t xml:space="preserve">Además: asignar una clave identificativa comunicada al reclamante para el seguimiento y abrir expediente. Registro de la reclamación, no del alta en sí. Ley 10/2025 (BOE núm. 312, de 27-12-2025) en vigor el 28-12-2025; plazo de adaptación de doce meses (DT única.1), de ahí 2026-12-28. Que ese plazo alcance a las modificaciones de la Ley 44/2002 (DF 2.ª) es interpretable. Art. 2.5: los servicios financieros se rigen por su normativa sectorial; la Ley 10/2025 es supletoria. Deroga los arts. 6 y 9 a 16 de la Orden ECO/734/2004.</t>
  </si>
  <si>
    <t xml:space="preserve">ES-TR-11</t>
  </si>
  <si>
    <t xml:space="preserve">DF 2.ª; art. 29 quater.4 Ley 44/2002</t>
  </si>
  <si>
    <t xml:space="preserve">Diez días naturales para alegaciones</t>
  </si>
  <si>
    <t xml:space="preserve">Cuando se entienda no admisible a trámite la queja o reclamación, por alguna de las causas indicadas, se pondrá de manifiesto al interesado mediante decisión motivada, dándole un plazo de diez días naturales</t>
  </si>
  <si>
    <t xml:space="preserve">Causas tasadas de inadmisión en el art. 29 quater.3. Si no se acredita la identidad del reclamante, requerimiento de subsanación en diez días naturales (29 quater.2). Ley 10/2025 (BOE núm. 312, de 27-12-2025) en vigor el 28-12-2025; plazo de adaptación de doce meses (DT única.1), de ahí 2026-12-28. Que ese plazo alcance a las modificaciones de la Ley 44/2002 (DF 2.ª) es interpretable. Art. 2.5: los servicios financieros se rigen por su normativa sectorial; la Ley 10/2025 es supletoria. Deroga los arts. 6 y 9 a 16 de la Orden ECO/734/2004.</t>
  </si>
  <si>
    <t xml:space="preserve">ES-TR-12</t>
  </si>
  <si>
    <t xml:space="preserve">DF 2.ª; art. 29 septies.1 y 2 Ley 44/2002</t>
  </si>
  <si>
    <t xml:space="preserve">La decisión estará siempre debidamente motivada y contendrá unas conclusiones claras sobre la solicitud planteada en cada queja o reclamación, contestando a todas las cuestiones expuestas por la clientela</t>
  </si>
  <si>
    <t xml:space="preserve">29 septies.1: el expediente deberá finalizar en el plazo máximo de un mes desde la presentación. Si la decisión se aparta de criterios de expedientes similares anteriores, deben darse las razones. Ley 10/2025 (BOE núm. 312, de 27-12-2025) en vigor el 28-12-2025; plazo de adaptación de doce meses (DT única.1), de ahí 2026-12-28. Que ese plazo alcance a las modificaciones de la Ley 44/2002 (DF 2.ª) es interpretable. Art. 2.5: los servicios financieros se rigen por su normativa sectorial; la Ley 10/2025 es supletoria. Deroga los arts. 6 y 9 a 16 de la Orden ECO/734/2004.</t>
  </si>
  <si>
    <t xml:space="preserve">ES-TR-13</t>
  </si>
  <si>
    <t xml:space="preserve">DF 2.ª; art. 29 septies.2 párr. 3 Ley 44/2002</t>
  </si>
  <si>
    <t xml:space="preserve">Con la decisión</t>
  </si>
  <si>
    <t xml:space="preserve">En caso de ser contraria a las pretensiones de la clientela, se comunicará en la misma de forma expresa la posibilidad abierta al cliente de acudir a servicios de reclamaciones del Banco de España</t>
  </si>
  <si>
    <t xml:space="preserve">También CNMV y DGSFP, y el modo de hacerlo. Ante el Banco de España, la reclamación exige haber reclamado antes a la entidad y que haya pasado un mes o se haya desestimado (art. 30.3.a). Ley 10/2025 (BOE núm. 312, de 27-12-2025) en vigor el 28-12-2025; plazo de adaptación de doce meses (DT única.1), de ahí 2026-12-28. Que ese plazo alcance a las modificaciones de la Ley 44/2002 (DF 2.ª) es interpretable. Art. 2.5: los servicios financieros se rigen por su normativa sectorial; la Ley 10/2025 es supletoria. Deroga los arts. 6 y 9 a 16 de la Orden ECO/734/2004.</t>
  </si>
  <si>
    <t xml:space="preserve">ES-TR-14</t>
  </si>
  <si>
    <t xml:space="preserve">DF 2.ª; art. 29 septies.3 Ley 44/2002</t>
  </si>
  <si>
    <t xml:space="preserve">Diez días naturales desde la fecha de la decisión</t>
  </si>
  <si>
    <t xml:space="preserve">La decisión será notificada a los interesados en el plazo de diez días naturales a contar desde su fecha, por escrito o en cualquier otro soporte duradero</t>
  </si>
  <si>
    <t xml:space="preserve">En la lengua de presentación de la queja (29 septies.4). Para cooperativas de crédito y cajas de ahorro, los apdos. 3 y 4 quedan pendientes de desarrollo reglamentario (DF 3.ª, letra e). Ley 10/2025 (BOE núm. 312, de 27-12-2025) en vigor el 28-12-2025; plazo de adaptación de doce meses (DT única.1), de ahí 2026-12-28. Que ese plazo alcance a las modificaciones de la Ley 44/2002 (DF 2.ª) es interpretable. Art. 2.5: los servicios financieros se rigen por su normativa sectorial; la Ley 10/2025 es supletoria. Deroga los arts. 6 y 9 a 16 de la Orden ECO/734/2004.</t>
  </si>
  <si>
    <t xml:space="preserve">ES-TR-15</t>
  </si>
  <si>
    <t xml:space="preserve">Ley 10/2025 de servicios de atención a la clientela</t>
  </si>
  <si>
    <t xml:space="preserve">Antes de quedar vinculado por el contrato</t>
  </si>
  <si>
    <t xml:space="preserve">antes de que la persona consumidora o usuaria quede vinculada por un contrato u oferta comercial correspondiente, la empresa le facilitará de forma clara y comprensible y en formato universalmente accesible la siguiente información</t>
  </si>
  <si>
    <t xml:space="preserve">Información sobre canales, constancia de reclamaciones en soporte duradero, seguimiento, canales de resolución, sistemas extrajudiciales y horario (letras a-g). Aplicación supletoria al sector financiero (art. 2.5). No se aplica al sector financiero el plazo general de 15 días hábiles del art. 17.1 por existir plazo sectorial (un mes). Dato real: información sobre el servicio de atención (sin valor exacto). Ley 10/2025 (BOE núm. 312, de 27-12-2025) en vigor el 28-12-2025; plazo de adaptación de doce meses (DT única.1), de ahí 2026-12-28. Que ese plazo alcance a las modificaciones de la Ley 44/2002 (DF 2.ª) es interpretable. Art. 2.5: los servicios financieros se rigen por su normativa sectorial; la Ley 10/2025 es supletoria. Deroga los arts. 6 y 9 a 16 de la Orden ECO/734/2004.</t>
  </si>
  <si>
    <t xml:space="preserve">AMLR-01</t>
  </si>
  <si>
    <t xml:space="preserve">AML</t>
  </si>
  <si>
    <t xml:space="preserve">Reglamento (UE) 2024/1624 (AMLR)</t>
  </si>
  <si>
    <t xml:space="preserve">art. 19.1.a)</t>
  </si>
  <si>
    <t xml:space="preserve">Aplicable_desde_2027-07-10</t>
  </si>
  <si>
    <t xml:space="preserve">E0; E4; E9</t>
  </si>
  <si>
    <t xml:space="preserve">Las entidades obligadas aplicarán medidas de diligencia debida con respecto al cliente en cualquiera de las circunstancias siguientes: a) al establecer una relación de negocios;</t>
  </si>
  <si>
    <t xml:space="preserve">https://eur-lex.europa.eu/legal-content/ES/TXT/HTML/?uri=CELEX:32024R1624</t>
  </si>
  <si>
    <t xml:space="preserve">Disparador de la diligencia debida en el alta. Las letras e) y f) (dudas sobre datos o sobre si quien interactúa es el cliente) también aplican durante el alta.</t>
  </si>
  <si>
    <t xml:space="preserve">S0; R05; S6</t>
  </si>
  <si>
    <t xml:space="preserve">AMLR-02</t>
  </si>
  <si>
    <t xml:space="preserve">art. 20.1.a)</t>
  </si>
  <si>
    <t xml:space="preserve">E0; E3; E4; E9</t>
  </si>
  <si>
    <t xml:space="preserve">A efectos de realizar el procedimiento de diligencia debida con respecto al cliente, las entidades obligadas aplicarán las siguientes medidas: a) identificar al cliente y comprobar su identidad;</t>
  </si>
  <si>
    <t xml:space="preserve">S0; R04; R05; S6</t>
  </si>
  <si>
    <t xml:space="preserve">AMLR-03</t>
  </si>
  <si>
    <t xml:space="preserve">art. 25</t>
  </si>
  <si>
    <t xml:space="preserve">Antes de establecer una relación de negocios o realizar una operación ocasional, las entidades obligadas se asegurarán de comprender su propósito y su índole prevista.</t>
  </si>
  <si>
    <t xml:space="preserve">Información a obtener según proceda: propósito, cantidad estimada de actividad, origen y destino de fondos, ocupación (letras a-e). Desarrolla el art. 20.1.c).</t>
  </si>
  <si>
    <t xml:space="preserve">AMLR-04</t>
  </si>
  <si>
    <t xml:space="preserve">art. 20.1.d)</t>
  </si>
  <si>
    <t xml:space="preserve">E4; E5; E9</t>
  </si>
  <si>
    <t xml:space="preserve">comprobar si el cliente o los titulares reales sean objeto de sanciones financieras específicas</t>
  </si>
  <si>
    <t xml:space="preserve">Cribado de sanciones como medida de diligencia debida en el alta.</t>
  </si>
  <si>
    <t xml:space="preserve">R05; S3R06; S6</t>
  </si>
  <si>
    <t xml:space="preserve">AMLR-05</t>
  </si>
  <si>
    <t xml:space="preserve">art. 20.1.g)</t>
  </si>
  <si>
    <t xml:space="preserve">determinar si el cliente, el titular real del cliente y, en su caso, la persona o personas en cuyo nombre o beneficio se lleve a cabo una operación o actividad son personas del medio político</t>
  </si>
  <si>
    <t xml:space="preserve">Determinación PEP (incluye familiares y allegados).</t>
  </si>
  <si>
    <t xml:space="preserve">AMLR-06</t>
  </si>
  <si>
    <t xml:space="preserve">E0; E5; E9</t>
  </si>
  <si>
    <t xml:space="preserve">Las entidades obligadas determinarán el alcance de las medidas a que se refiere el apartado 1 sobre la base de un análisis individual de los riesgos de blanqueo de capitales y financiación del terrorismo</t>
  </si>
  <si>
    <t xml:space="preserve">Párr. 2: riesgo mayor obliga a medidas reforzadas (sección 4); riesgo menor permite simplificadas (sección 3). Factores en anexos I a III.</t>
  </si>
  <si>
    <t xml:space="preserve">S0; S3R06; S6</t>
  </si>
  <si>
    <t xml:space="preserve">AMLR-07</t>
  </si>
  <si>
    <t xml:space="preserve">art. 20.4</t>
  </si>
  <si>
    <t xml:space="preserve">Las entidades obligadas deberán estar siempre en condiciones de demostrar a sus supervisores que las medidas adoptadas son adecuadas en vista de los riesgos detectados</t>
  </si>
  <si>
    <t xml:space="preserve">Obligación de demostrabilidad: exige documentar la evaluación de riesgo y las medidas aplicadas.</t>
  </si>
  <si>
    <t xml:space="preserve">AMLR-08</t>
  </si>
  <si>
    <t xml:space="preserve">art. 22.1.a)</t>
  </si>
  <si>
    <t xml:space="preserve">iii) las nacionalidades, o la apatridia o el estatuto de refugiado o de protección subsidiaria cuando proceda, y el número de identificación nacional, en su caso,</t>
  </si>
  <si>
    <t xml:space="preserve">Datos mínimos persona física: nombres y apellidos, lugar y fecha de nacimiento, nacionalidades/apatridia/estatuto de refugiado, residencia habitual o dirección postal si no hay domicilio fijo con residencia legítima en la UE, NIF si disponible. Excepción: casos de menor riesgo (sección 3). Relevante para inclusión (refugiados, sin domicilio fijo).</t>
  </si>
  <si>
    <t xml:space="preserve">AMLR-09</t>
  </si>
  <si>
    <t xml:space="preserve">art. 22.6.a) y b)</t>
  </si>
  <si>
    <t xml:space="preserve">E0; E2; E3; E9</t>
  </si>
  <si>
    <t xml:space="preserve">el uso de medios de identificación electrónica, siempre que cumplan los requisitos del Reglamento (UE) n.o 910/2014 en lo que respecta a los niveles de seguridad «sustancial» o «elevado»</t>
  </si>
  <si>
    <t xml:space="preserve">Letra a): documento de identidad, pasaporte o equivalente y, cuando proceda, fuentes fiables e independientes. El articulado NO menciona expresamente la Cartera Europea de Identidad Digital ni la identificación 'a distancia'; la cartera encajaría como medio eIDAS de nivel elevado (interpretación, no texto).</t>
  </si>
  <si>
    <t xml:space="preserve">S0; R02R03; R04; S6</t>
  </si>
  <si>
    <t xml:space="preserve">AMLR-10</t>
  </si>
  <si>
    <t xml:space="preserve">art. 23.1</t>
  </si>
  <si>
    <t xml:space="preserve">Antes de establecer la relación de negocios</t>
  </si>
  <si>
    <t xml:space="preserve">La comprobación de la identidad del cliente, del titular real y de toda persona con arreglo al artículo 20, apartado 1, letras h) e i), se efectuará antes de que se establezca una relación</t>
  </si>
  <si>
    <t xml:space="preserve">Requisito de secuencia. Excepciones: menor riesgo (sección 3) y art. 23.2 (ultimar durante el establecimiento si riesgo escaso, lo antes posible tras el primer contacto).</t>
  </si>
  <si>
    <t xml:space="preserve">R05; R07; S3R06; S6</t>
  </si>
  <si>
    <t xml:space="preserve">AMLR-11</t>
  </si>
  <si>
    <t xml:space="preserve">art. 23.3</t>
  </si>
  <si>
    <t xml:space="preserve">E5; E9</t>
  </si>
  <si>
    <t xml:space="preserve">Hasta cumplir art. 20.1.a) y b)</t>
  </si>
  <si>
    <t xml:space="preserve">existan suficientes garantías de que ni el cliente o ni otras personas en su nombre efectuarán operaciones hasta que se hayan cumplido plenamente las medidas de diligencia debida con respecto al cliente</t>
  </si>
  <si>
    <t xml:space="preserve">Permite apertura de cuenta bloqueada antes de completar la verificación (relevante para estados intermedios del alta).</t>
  </si>
  <si>
    <t xml:space="preserve">S3R06; S6</t>
  </si>
  <si>
    <t xml:space="preserve">AMLR-12</t>
  </si>
  <si>
    <t xml:space="preserve">art. 21.1 párr. 1</t>
  </si>
  <si>
    <t xml:space="preserve">Cuando una entidad obligada no pueda cumplir el requisito de aplicar las medidas de diligencia debida con respecto al cliente (...) se abstendrá de efectuar operaciones o de establecer relaciones de negocios</t>
  </si>
  <si>
    <t xml:space="preserve">Art. 21.4: la ALBC y la ABE emitirán directrices conjuntas a más tardar el 10-07-2027 sobre la aplicación de la Directiva 2014/92/UE (cuenta de pago básica) y prácticas de reducción del riesgo (obligación de las autoridades, no de las entidades).</t>
  </si>
  <si>
    <t xml:space="preserve">AMLR-13</t>
  </si>
  <si>
    <t xml:space="preserve">se planteará la posibilidad de poner en conocimiento de la UIF una operación sospechosa en relación con el cliente, con arreglo al artículo 69.</t>
  </si>
  <si>
    <t xml:space="preserve">Obligación de valorar (no de comunicar automáticamente) una comunicación de operación sospechosa.</t>
  </si>
  <si>
    <t xml:space="preserve">R05; R10; S5</t>
  </si>
  <si>
    <t xml:space="preserve">AMLR-14</t>
  </si>
  <si>
    <t xml:space="preserve">art. 21.3 párr. 1</t>
  </si>
  <si>
    <t xml:space="preserve">Las entidades obligadas mantendrán un registro de las medidas adoptadas para cumplir el requisito de aplicar las medidas de diligencia debida con respecto al cliente, incluidos registros de las decisiones adoptadas</t>
  </si>
  <si>
    <t xml:space="preserve">El plazo de conservación se rige por el art. 77.3 (cinco años).</t>
  </si>
  <si>
    <t xml:space="preserve">AMLR-15</t>
  </si>
  <si>
    <t xml:space="preserve">art. 21.3 párr. 2</t>
  </si>
  <si>
    <t xml:space="preserve">La obligación de mantener un registro establecida en el párrafo primero del presente apartado se aplicará también a las situaciones en que las entidades obligadas rechacen establecer una relación de negocios</t>
  </si>
  <si>
    <t xml:space="preserve">El considerando 75 precisa que los registros deben incluir los motivos de la decisión de no entablar la relación. El considerando 147 indica que no debe denegarse el acceso a servicios financieros básicos sobre la base de información intercambiada (no vinculante).</t>
  </si>
  <si>
    <t xml:space="preserve">AMLR-16</t>
  </si>
  <si>
    <t xml:space="preserve">art. 33.1.a)</t>
  </si>
  <si>
    <t xml:space="preserve">Máximo 60 días tras el establecimiento</t>
  </si>
  <si>
    <t xml:space="preserve">comprobar la identidad del cliente y del titular real después del establecimiento de la relación de negocios, siempre y cuando el menor riesgo específico detectado justifique dicho aplazamiento, pero en ningún caso más de sesenta</t>
  </si>
  <si>
    <t xml:space="preserve">Medida simplificada facultativa para riesgo bajo; art. 33.3 exige limitar operaciones mientras no se compruebe.</t>
  </si>
  <si>
    <t xml:space="preserve">AMLR-17</t>
  </si>
  <si>
    <t xml:space="preserve">art. 33.2</t>
  </si>
  <si>
    <t xml:space="preserve">Las entidades obligadas documentarán las decisiones para tener en cuenta los factores adicionales de menor riesgo.</t>
  </si>
  <si>
    <t xml:space="preserve">AMLR-18</t>
  </si>
  <si>
    <t xml:space="preserve">art. 33.5.a)</t>
  </si>
  <si>
    <t xml:space="preserve">E3; E4; E5</t>
  </si>
  <si>
    <t xml:space="preserve">las entidades obligadas albergan dudas sobre la veracidad de la información facilitada por el cliente o el titular real en la fase de identificación, o detectan incongruencias en relación con la información;</t>
  </si>
  <si>
    <t xml:space="preserve">Supuesto en que la entidad se abstendrá de aplicar medidas simplificadas.</t>
  </si>
  <si>
    <t xml:space="preserve">R04; R05; S3R06</t>
  </si>
  <si>
    <t xml:space="preserve">AMLR-19</t>
  </si>
  <si>
    <t xml:space="preserve">art. 34.1</t>
  </si>
  <si>
    <t xml:space="preserve">las entidades obligadas aplicarán medidas reforzadas de diligencia debida para gestionar y atenuar debidamente tales riesgos.</t>
  </si>
  <si>
    <t xml:space="preserve">Supuestos: arts. 29-31 y 36-46 y otros casos de mayor riesgo (art. 20.2). Art. 34.3: tener en cuenta como mínimo los factores del anexo III.</t>
  </si>
  <si>
    <t xml:space="preserve">AMLR-20</t>
  </si>
  <si>
    <t xml:space="preserve">art. 34.4.e)</t>
  </si>
  <si>
    <t xml:space="preserve">e) obtener la aprobación de los órganos de dirección para establecer o mantener la relación de negocios;</t>
  </si>
  <si>
    <t xml:space="preserve">Medida reforzada potestativa ('podrá incluir') en casos de mayor riesgo.</t>
  </si>
  <si>
    <t xml:space="preserve">AMLR-21</t>
  </si>
  <si>
    <t xml:space="preserve">anexo II, punto 2.d)</t>
  </si>
  <si>
    <t xml:space="preserve">productos o servicios financieros adecuadamente definidos y limitados, destinados a determinados tipos de clientes, con objeto de aumentar el acceso con fines de inclusión financiera;</t>
  </si>
  <si>
    <t xml:space="preserve">Factor de menor riesgo potencial que la entidad debe considerar (art. 20.2). Nota: el anexo III del AMLR no incluye las relaciones no presenciales como factor de mayor riesgo.</t>
  </si>
  <si>
    <t xml:space="preserve">AMLR-22</t>
  </si>
  <si>
    <t xml:space="preserve">art. 69.1 párr. 2</t>
  </si>
  <si>
    <t xml:space="preserve">E1; E4; E7; E8</t>
  </si>
  <si>
    <t xml:space="preserve">Sin demora</t>
  </si>
  <si>
    <t xml:space="preserve">Se comunicarán de conformidad con el párrafo primero todas las operaciones sospechosas, inclusive las que queden en fase de tentativa y las sospechas derivadas de la incapacidad de llevar a cabo la diligencia debida</t>
  </si>
  <si>
    <t xml:space="preserve">'Sin demora' figura en el párrafo primero del art. 69.1.</t>
  </si>
  <si>
    <t xml:space="preserve">R01; R05; R10; S5</t>
  </si>
  <si>
    <t xml:space="preserve">AMLR-23</t>
  </si>
  <si>
    <t xml:space="preserve">art. 76.2.a)</t>
  </si>
  <si>
    <t xml:space="preserve">informen a sus clientes o clientes potenciales de que dichas categorías de datos podrán tratarse con el fin de cumplir los requisitos del presente Reglamento;</t>
  </si>
  <si>
    <t xml:space="preserve">Solo si se tratan categorías especiales de datos (art. 9 RGPD).</t>
  </si>
  <si>
    <t xml:space="preserve">AMLR-24</t>
  </si>
  <si>
    <t xml:space="preserve">art. 76.5.b)</t>
  </si>
  <si>
    <t xml:space="preserve">E5; E8; E9</t>
  </si>
  <si>
    <t xml:space="preserve">toda decisión de entablar o negarse a entablar o mantener una relación de negocios con un cliente (...) esté sujeta a una intervención humana significativa para garantizar la exactitud y adecuación de dicha decisión</t>
  </si>
  <si>
    <t xml:space="preserve">Condición para usar decisiones automatizadas, perfiles o sistemas de IA en la diligencia debida. El texto ES remite al 'Reglamento (UE) 2024/XXX' (Reglamento de IA).</t>
  </si>
  <si>
    <t xml:space="preserve">S3R06; S5; S6</t>
  </si>
  <si>
    <t xml:space="preserve">AMLR-25</t>
  </si>
  <si>
    <t xml:space="preserve">art. 76.5.c)</t>
  </si>
  <si>
    <t xml:space="preserve">el cliente pueda obtener una explicación sobre la decisión adoptada por la entidad obligada, y pueda impugnar dicha decisión, excepto en relación con el informe a que se refiere el artículo 69</t>
  </si>
  <si>
    <t xml:space="preserve">Aplicable cuando la decisión se basa en procesos automatizados o IA (art. 76.5).</t>
  </si>
  <si>
    <t xml:space="preserve">AMLR-26</t>
  </si>
  <si>
    <t xml:space="preserve">art. 77.1.a)</t>
  </si>
  <si>
    <t xml:space="preserve">5 años</t>
  </si>
  <si>
    <t xml:space="preserve">una copia de los documentos y la información obtenidos durante la realización del procedimiento de diligencia debida con respecto al cliente (...) incluida la información obtenida a través de medios de identificación electrónica;</t>
  </si>
  <si>
    <t xml:space="preserve">Párrafo final del 77.1: los registros no se expurgarán. Art. 77.2: posible conservación por referencia si la información no puede modificarse ni alterarse.</t>
  </si>
  <si>
    <t xml:space="preserve">AMLR-27</t>
  </si>
  <si>
    <t xml:space="preserve">art. 77.1.b)</t>
  </si>
  <si>
    <t xml:space="preserve">E4; E5; E8</t>
  </si>
  <si>
    <t xml:space="preserve">un registro de la evaluación realizada de conformidad con el artículo 69, apartado 2 (...) con independencia de que dicha evaluación dé lugar o no a una comunicación de operaciones sospechosas a la UIF</t>
  </si>
  <si>
    <t xml:space="preserve">Cubre la valoración de sospecha que exige el art. 21.1 cuando no se puede completar la diligencia debida.</t>
  </si>
  <si>
    <t xml:space="preserve">R05; S3R06; S5</t>
  </si>
  <si>
    <t xml:space="preserve">AMLR-28</t>
  </si>
  <si>
    <t xml:space="preserve">art. 77.3</t>
  </si>
  <si>
    <t xml:space="preserve">E4; E7; E8; E9</t>
  </si>
  <si>
    <t xml:space="preserve">se conservará durante un período de cinco años, a partir de la fecha de extinción de la relación de negocios o (...) de la fecha de la negativa a entablar una relación de negocios</t>
  </si>
  <si>
    <t xml:space="preserve">Al expirar, supresión de datos personales salvo otros plazos legales compatibles con el RGPD; las autoridades pueden exigir prórroga de hasta cinco años más. No se fija cómputo expreso para el abandono sin negativa formal (E1, E6).</t>
  </si>
  <si>
    <t xml:space="preserve">R05; R10; S5; S6</t>
  </si>
  <si>
    <t xml:space="preserve">EBA-RO-01</t>
  </si>
  <si>
    <t xml:space="preserve">Directrices EBA</t>
  </si>
  <si>
    <t xml:space="preserve">Directrices EBA/GL/2022/15 (alta de clientes a distancia)</t>
  </si>
  <si>
    <t xml:space="preserve">párr. 9.a)</t>
  </si>
  <si>
    <t xml:space="preserve">Aplicable_desde_2023-10-02</t>
  </si>
  <si>
    <t xml:space="preserve">una descripción general de la solución que las entidades de crédito y financieras han puesto en marcha para recopilar, verificar y conservar la información durante el proceso de alta de clientes a distancia.</t>
  </si>
  <si>
    <t xml:space="preserve">https://www.eba.europa.eu/sites/default/files/document_library/Publications/Guidelines/2022/EBA-GL-2022-15%20GL%20on%20remote%20customer%20onboarding/Translations/1054115/GL%20remote%20customer%20onboarding%20solutions%20%28EBA%20GL%202022%2015%29_ES_REV.pdf</t>
  </si>
  <si>
    <t xml:space="preserve">Contenido mínimo de las políticas y procedimientos de alta a distancia (párr. 9 a-e). Destinatarias: entidades de crédito y financieras (no todas las entidades obligadas). Basada en la Directiva (UE) 2015/849; previsible sustitución por normas/directrices ALBC al aplicarse el AMLR.</t>
  </si>
  <si>
    <t xml:space="preserve">EBA-RO-02</t>
  </si>
  <si>
    <t xml:space="preserve">párr. 9.c)</t>
  </si>
  <si>
    <t xml:space="preserve">qué pasos están totalmente automatizados y cuáles requieren la intervención humana;</t>
  </si>
  <si>
    <t xml:space="preserve">Destinatarias: entidades de crédito y financieras (no todas las entidades obligadas). Basada en la Directiva (UE) 2015/849; previsible sustitución por normas/directrices ALBC al aplicarse el AMLR.</t>
  </si>
  <si>
    <t xml:space="preserve">EBA-RO-03</t>
  </si>
  <si>
    <t xml:space="preserve">párr. 9.d)</t>
  </si>
  <si>
    <t xml:space="preserve">los controles implementados para garantizar que la primera transacción con un nuevo cliente se ejecute solo una vez que se hayan aplicado todas las medidas iniciales de diligencia debida con respecto al cliente (DDC);</t>
  </si>
  <si>
    <t xml:space="preserve">EBA-RO-04</t>
  </si>
  <si>
    <t xml:space="preserve">párr. 14 y 16</t>
  </si>
  <si>
    <t xml:space="preserve">Las entidades de crédito y financieras establecerán el alcance, los pasos y los requisitos de conservación de la información de la evaluación previa en sus políticas y procedimientos</t>
  </si>
  <si>
    <t xml:space="preserve">Párr. 16: deberán poder demostrar a la autoridad competente las evaluaciones previas, su resultado y por qué el uso es apropiado. Párr. 15: presunción de cumplimiento de 14.a, d y e con eID notificada (nivel sustancial/alto) o servicios de confianza cualificados. Destinatarias: entidades de crédito y financieras (no todas las entidades obligadas). Basada en la Directiva (UE) 2015/849; previsible sustitución por normas/directrices ALBC al aplicarse el AMLR.</t>
  </si>
  <si>
    <t xml:space="preserve">EBA-RO-05</t>
  </si>
  <si>
    <t xml:space="preserve">párr. 14.d) y e)</t>
  </si>
  <si>
    <t xml:space="preserve">d) pruebas para evaluar los riesgos de fraude, incluidos los riesgos de fraude basado en la suplantación de identidad y otros riesgos de tecnologías de la información</t>
  </si>
  <si>
    <t xml:space="preserve">Letra e): prueba de extremo a extremo del funcionamiento de la solución antes de su implantación. Destinatarias: entidades de crédito y financieras (no todas las entidades obligadas). Basada en la Directiva (UE) 2015/849; previsible sustitución por normas/directrices ALBC al aplicarse el AMLR.</t>
  </si>
  <si>
    <t xml:space="preserve">EBA-RO-06</t>
  </si>
  <si>
    <t xml:space="preserve">párr. 18</t>
  </si>
  <si>
    <t xml:space="preserve">Las entidades de crédito y financieras supervisarán la solución de alta de clientes a distancia de un modo continuo para garantizar que funciona de acuerdo con sus expectativas.</t>
  </si>
  <si>
    <t xml:space="preserve">18.c): revisiones ad hoc ante deficiencias de funcionamiento, aumento de intentos de fraude, cambios de riesgo o normativos. Párr. 20: medios como alertas automatizadas, informes de calidad, análisis de muestras, revisiones manuales. Destinatarias: entidades de crédito y financieras (no todas las entidades obligadas). Basada en la Directiva (UE) 2015/849; previsible sustitución por normas/directrices ALBC al aplicarse el AMLR.</t>
  </si>
  <si>
    <t xml:space="preserve">EBA-RO-07</t>
  </si>
  <si>
    <t xml:space="preserve">párr. 19</t>
  </si>
  <si>
    <t xml:space="preserve">E2; E9</t>
  </si>
  <si>
    <t xml:space="preserve">incluirán en sus procedimientos y procesos las medidas de remediación cuando se haya materializado un riesgo o se hayan identificado errores que afecten a la eficiencia y eficacia de la solución</t>
  </si>
  <si>
    <t xml:space="preserve">Incluye revisar relaciones de negocios afectadas y valorar DD adicional, limitaciones, resolución, comunicación a la UIF o reclasificación (19.a-b). Destinatarias: entidades de crédito y financieras (no todas las entidades obligadas). Basada en la Directiva (UE) 2015/849; previsible sustitución por normas/directrices ALBC al aplicarse el AMLR.</t>
  </si>
  <si>
    <t xml:space="preserve">R02R03; S6</t>
  </si>
  <si>
    <t xml:space="preserve">EBA-RO-08</t>
  </si>
  <si>
    <t xml:space="preserve">párr. 21</t>
  </si>
  <si>
    <t xml:space="preserve">Esta sección también se aplica cuando se utilizan soluciones de alta de clientes a distancia totalmente automatizadas que dependen en gran medida de algoritmos automatizados, con escasa o nula intervención humana.</t>
  </si>
  <si>
    <t xml:space="preserve">EBA-RO-09</t>
  </si>
  <si>
    <t xml:space="preserve">párr. 22</t>
  </si>
  <si>
    <t xml:space="preserve">Vida útil de la solución</t>
  </si>
  <si>
    <t xml:space="preserve">deberán ser capaces de demostrar a su autoridad competente qué revisiones han realizado y las medidas de remediación que han adoptado para subsanar las deficiencias detectadas durante la vida útil de la solución</t>
  </si>
  <si>
    <t xml:space="preserve">El plazo literal es 'durante la vida útil de la solución' (alcance de lo que debe poder demostrarse). Destinatarias: entidades de crédito y financieras (no todas las entidades obligadas). Basada en la Directiva (UE) 2015/849; previsible sustitución por normas/directrices ALBC al aplicarse el AMLR.</t>
  </si>
  <si>
    <t xml:space="preserve">EBA-RO-10</t>
  </si>
  <si>
    <t xml:space="preserve">párr. 24.b) y c)</t>
  </si>
  <si>
    <t xml:space="preserve">c) el proceso de identificación no continúa si se detectan deficiencias técnicas o interrupciones de conexión inesperadas.</t>
  </si>
  <si>
    <t xml:space="preserve">24.b): imágenes, vídeo, sonido y datos en formato legible y con calidad suficiente. Párr. 25: presunción de cumplimiento con eID notificada o servicios de confianza cualificados. Destinatarias: entidades de crédito y financieras (no todas las entidades obligadas). Basada en la Directiva (UE) 2015/849; previsible sustitución por normas/directrices ALBC al aplicarse el AMLR.</t>
  </si>
  <si>
    <t xml:space="preserve">R02R03</t>
  </si>
  <si>
    <t xml:space="preserve">EBA-RO-11</t>
  </si>
  <si>
    <t xml:space="preserve">párr. 26</t>
  </si>
  <si>
    <t xml:space="preserve">llevarán una marca de tiempo y serán almacenados de manera segura (...) El contenido de los registros almacenados (...) deberá estar disponible en un formato legible y permitir verificaciones posteriores.</t>
  </si>
  <si>
    <t xml:space="preserve">Remite al plazo del art. 40.1.a) de la Directiva (UE) 2015/849 (en España, art. 25 Ley 10/2010; desde 2027, art. 77 AMLR). Exige permitir verificaciones posteriores. Destinatarias: entidades de crédito y financieras (no todas las entidades obligadas). Basada en la Directiva (UE) 2015/849; previsible sustitución por normas/directrices ALBC al aplicarse el AMLR.</t>
  </si>
  <si>
    <t xml:space="preserve">EBA-RO-12</t>
  </si>
  <si>
    <t xml:space="preserve">párr. 27</t>
  </si>
  <si>
    <t xml:space="preserve">E0; E3; E4</t>
  </si>
  <si>
    <t xml:space="preserve">Además, las entidades de crédito y financieras definirán qué información: a) es introducida manualmente por el cliente; b) se obtiene automáticamente de la documentación facilitada por el cliente; c) se recoge utilizando otras fuentes</t>
  </si>
  <si>
    <t xml:space="preserve">Trazabilidad del origen de cada dato de identificación. Destinatarias: entidades de crédito y financieras (no todas las entidades obligadas). Basada en la Directiva (UE) 2015/849; previsible sustitución por normas/directrices ALBC al aplicarse el AMLR.</t>
  </si>
  <si>
    <t xml:space="preserve">S0; R04; R05</t>
  </si>
  <si>
    <t xml:space="preserve">EBA-RO-13</t>
  </si>
  <si>
    <t xml:space="preserve">párr. 28</t>
  </si>
  <si>
    <t xml:space="preserve">E0; E3; E5</t>
  </si>
  <si>
    <t xml:space="preserve">incluidos los riesgos asociados a la captura automática de datos, como la ocultación de la ubicación del dispositivo del cliente mediante direcciones de protocolo de internet (IP) falsificadas o servicios como redes privadas virtuales (VPN).</t>
  </si>
  <si>
    <t xml:space="preserve">S0; R04; S3R06</t>
  </si>
  <si>
    <t xml:space="preserve">EBA-RO-14</t>
  </si>
  <si>
    <t xml:space="preserve">párr. 37</t>
  </si>
  <si>
    <t xml:space="preserve">E3; E5</t>
  </si>
  <si>
    <t xml:space="preserve">establecerán en sus políticas y procedimientos cómo adaptarán sus solicitudes de documentación a efectos de la inclusión financiera.</t>
  </si>
  <si>
    <t xml:space="preserve">Si se aceptan documentos menos sólidos o no tradicionales: controles o mayor intervención humana además del apartado 4.10 de las Directrices sobre factores de riesgo. Destinatarias: entidades de crédito y financieras (no todas las entidades obligadas). Basada en la Directiva (UE) 2015/849; previsible sustitución por normas/directrices ALBC al aplicarse el AMLR.</t>
  </si>
  <si>
    <t xml:space="preserve">R04; S3R06</t>
  </si>
  <si>
    <t xml:space="preserve">EBA-RO-15</t>
  </si>
  <si>
    <t xml:space="preserve">párr. 39</t>
  </si>
  <si>
    <t xml:space="preserve">utilizarán algoritmos sólidos y fiables para verificar la coincidencia entre los datos biométricos (...) En situaciones en las que la solución no proporcione el nivel de confianza requerido, se aplicarán controles adicionales.</t>
  </si>
  <si>
    <t xml:space="preserve">EBA-RO-16</t>
  </si>
  <si>
    <t xml:space="preserve">párr. 40</t>
  </si>
  <si>
    <t xml:space="preserve">E2; E3; E5</t>
  </si>
  <si>
    <t xml:space="preserve">el proceso individual de alta de clientes a distancia se interrumpirá y se reiniciará o dirigirá a una verificación presencial.</t>
  </si>
  <si>
    <t xml:space="preserve">Supuesto: pruebas de calidad insuficiente que generen ambigüedad o incertidumbre. Destinatarias: entidades de crédito y financieras (no todas las entidades obligadas). Basada en la Directiva (UE) 2015/849; previsible sustitución por normas/directrices ALBC al aplicarse el AMLR.</t>
  </si>
  <si>
    <t xml:space="preserve">R02R03; R04; S3R06</t>
  </si>
  <si>
    <t xml:space="preserve">EBA-RO-17</t>
  </si>
  <si>
    <t xml:space="preserve">párr. 41.c)</t>
  </si>
  <si>
    <t xml:space="preserve">realizarán verificaciones de detección en directo</t>
  </si>
  <si>
    <t xml:space="preserve">Soluciones no asistidas: también iluminación adecuada, captura en el momento y algoritmos de comparación (41.a, b, d). Párr. 45: presunción de cumplimiento de 38-43 con eID notificada o servicios de confianza cualificados. Destinatarias: entidades de crédito y financieras (no todas las entidades obligadas). Basada en la Directiva (UE) 2015/849; previsible sustitución por normas/directrices ALBC al aplicarse el AMLR.</t>
  </si>
  <si>
    <t xml:space="preserve">EBA-RO-18</t>
  </si>
  <si>
    <t xml:space="preserve">párr. 42.b) y c)</t>
  </si>
  <si>
    <t xml:space="preserve">dispondrán la participación de un empleado que tenga suficiente conocimiento de la normativa aplicable en materia de PBC/FT y de los aspectos de seguridad de la verificación a distancia</t>
  </si>
  <si>
    <t xml:space="preserve">42.c): guía de entrevista con los pasos y acciones del empleado. Párr. 43: aleatoriedad de acciones y asignación aleatoria del empleado en la medida de lo posible. Destinatarias: entidades de crédito y financieras (no todas las entidades obligadas). Basada en la Directiva (UE) 2015/849; previsible sustitución por normas/directrices ALBC al aplicarse el AMLR.</t>
  </si>
  <si>
    <t xml:space="preserve">S3R06</t>
  </si>
  <si>
    <t xml:space="preserve">EBA-RO-19</t>
  </si>
  <si>
    <t xml:space="preserve">párr. 46 y 48.c)</t>
  </si>
  <si>
    <t xml:space="preserve">especificaciones que establezcan qué funciones y actividades de alta de clientes a distancia serán realizadas o llevadas a cabo por la entidad de crédito y financiera, por terceros o por otro proveedor de servicios externalizados.</t>
  </si>
  <si>
    <t xml:space="preserve">48.c): el proveedor externalizado debe informar de cualquier cambio propuesto o realizado en la solución. Destinatarias: entidades de crédito y financieras (no todas las entidades obligadas). Basada en la Directiva (UE) 2015/849; previsible sustitución por normas/directrices ALBC al aplicarse el AMLR.</t>
  </si>
  <si>
    <t xml:space="preserve">EBA-RO-20</t>
  </si>
  <si>
    <t xml:space="preserve">párr. 49</t>
  </si>
  <si>
    <t xml:space="preserve">a) solo se recogen y conservan los datos necesarios del cliente con arreglo a un plazo de conservación claramente definido; b) el acceso a los datos está estrictamente limitado y registrado;</t>
  </si>
  <si>
    <t xml:space="preserve">Aplica cuando el proveedor externalizado almacena fotografías, vídeos y documentos durante el proceso de alta (también si no culmina). El plazo debe definirse contractualmente; la directriz no lo fija. Destinatarias: entidades de crédito y financieras (no todas las entidades obligadas). Basada en la Directiva (UE) 2015/849; previsible sustitución por normas/directrices ALBC al aplicarse el AMLR.</t>
  </si>
  <si>
    <t xml:space="preserve">EBA-RO-21</t>
  </si>
  <si>
    <t xml:space="preserve">párr. 50</t>
  </si>
  <si>
    <t xml:space="preserve">Las entidades de crédito y financieras identificarán y gestionarán sus riesgos de TIC y de seguridad relacionados con el uso del proceso de alta de clientes a distancia</t>
  </si>
  <si>
    <t xml:space="preserve">Remite a las Directrices EBA/GL/2019/04 sobre gestión de riesgos de TIC y de seguridad. Destinatarias: entidades de crédito y financieras (no todas las entidades obligadas). Basada en la Directiva (UE) 2015/849; previsible sustitución por normas/directrices ALBC al aplicarse el AMLR.</t>
  </si>
  <si>
    <t xml:space="preserve">EBA-RO-22</t>
  </si>
  <si>
    <t xml:space="preserve">párr. 52</t>
  </si>
  <si>
    <t xml:space="preserve">También se informará al cliente de las medidas de seguridad aplicables que deben adoptarse para garantizar un uso seguro del sistema.</t>
  </si>
  <si>
    <t xml:space="preserve">Además: punto de acceso seguro basado en certificados cualificados de sello electrónico o de autenticación de sitios web (eIDAS). Destinatarias: entidades de crédito y financieras (no todas las entidades obligadas). Basada en la Directiva (UE) 2015/849; previsible sustitución por normas/directrices ALBC al aplicarse el AMLR.</t>
  </si>
  <si>
    <t xml:space="preserve">EBA-DR-01</t>
  </si>
  <si>
    <t xml:space="preserve">Directrices EBA/GL/2023/04 (acceso a servicios financieros / de-risking)</t>
  </si>
  <si>
    <t xml:space="preserve">párr. 10</t>
  </si>
  <si>
    <t xml:space="preserve">Aplicable_desde_2023-11-03</t>
  </si>
  <si>
    <t xml:space="preserve">velarán por que la aplicación de estas políticas, procedimientos y controles no dé lugar al rechazo o al cese general de las relaciones de negocios con categorías enteras de clientes</t>
  </si>
  <si>
    <t xml:space="preserve">https://www.eba.europa.eu/sites/default/files/document_library/Publications/Guidelines/2023/EBA-GL-2023-04/Translations/1061461/GLs%20on%20MLTF%20risk%20management%20%28EBA%20GL%202023%2004%29_ES_COR.pdf</t>
  </si>
  <si>
    <t xml:space="preserve">Párr. 9: distinguir el riesgo de la categoría del riesgo del cliente individual. Destinatarias: entidades de crédito y financieras (no todas las entidades obligadas). Basada en la Directiva (UE) 2015/849; previsible sustitución por normas/directrices ALBC al aplicarse el AMLR.</t>
  </si>
  <si>
    <t xml:space="preserve">EBA-DR-02</t>
  </si>
  <si>
    <t xml:space="preserve">párr. 11</t>
  </si>
  <si>
    <t xml:space="preserve">establecerán en sus políticas y procedimientos los criterios que utilizarán para determinar los motivos por los que decidirán que una relación de negocios puede ser rechazada o finalizada</t>
  </si>
  <si>
    <t xml:space="preserve">Las políticas deben recoger las opciones de mitigación (como mínimo, ajuste del seguimiento y, si lo permite el Derecho nacional, restricciones de productos) antes de rechazar. Destinatarias: entidades de crédito y financieras (no todas las entidades obligadas). Basada en la Directiva (UE) 2015/849; previsible sustitución por normas/directrices ALBC al aplicarse el AMLR.</t>
  </si>
  <si>
    <t xml:space="preserve">EBA-DR-03</t>
  </si>
  <si>
    <t xml:space="preserve">párr. 12</t>
  </si>
  <si>
    <t xml:space="preserve">E5; E8</t>
  </si>
  <si>
    <t xml:space="preserve">Antes de tomar la decisión de rechazar o poner fin a una relación de negocios, las entidades de crédito y financieras se asegurarán de que han considerado y rechazado todas las posibles medidas de mitigación</t>
  </si>
  <si>
    <t xml:space="preserve">Obligación de considerar alternativas a la denegación. Destinatarias: entidades de crédito y financieras (no todas las entidades obligadas). Basada en la Directiva (UE) 2015/849; previsible sustitución por normas/directrices ALBC al aplicarse el AMLR.</t>
  </si>
  <si>
    <t xml:space="preserve">S3R06; S5</t>
  </si>
  <si>
    <t xml:space="preserve">EBA-DR-04</t>
  </si>
  <si>
    <t xml:space="preserve">párr. 13</t>
  </si>
  <si>
    <t xml:space="preserve">establecerán en sus políticas y procedimientos los criterios que se utilizarán para determinar los motivos razonables por los que sospecharían que se están produciendo o se están intentando llevar a cabo actividades de BC/FT.</t>
  </si>
  <si>
    <t xml:space="preserve">Criterios para la comunicación de sospechas (art. 33 Directiva 2015/849), incluidas tentativas. Destinatarias: entidades de crédito y financieras (no todas las entidades obligadas). Basada en la Directiva (UE) 2015/849; previsible sustitución por normas/directrices ALBC al aplicarse el AMLR.</t>
  </si>
  <si>
    <t xml:space="preserve">EBA-DR-05</t>
  </si>
  <si>
    <t xml:space="preserve">párr. 14</t>
  </si>
  <si>
    <t xml:space="preserve">Las entidades de crédito y financieras documentarán la decisión de denegar o poner fin a una relación de negocios y los motivos para ello, y estarán preparadas para poner esta documentación a disposición</t>
  </si>
  <si>
    <t xml:space="preserve">Documentación disponible a solicitud de la autoridad competente. Destinatarias: entidades de crédito y financieras (no todas las entidades obligadas). Basada en la Directiva (UE) 2015/849; previsible sustitución por normas/directrices ALBC al aplicarse el AMLR.</t>
  </si>
  <si>
    <t xml:space="preserve">EBA-DR-06</t>
  </si>
  <si>
    <t xml:space="preserve">párr. 15</t>
  </si>
  <si>
    <t xml:space="preserve">establecerán en sus políticas y procedimientos de apertura de cuentas de qué manera pueden ajustar sus requisitos de diligencia debida con respecto al cliente para tener en cuenta que las funcionalidades limitadas</t>
  </si>
  <si>
    <t xml:space="preserve">Entidades de crédito obligadas a ofrecer cuentas de pago básicas (arts. 16.2 y 17 Directiva 2014/92/UE). Destinatarias: entidades de crédito y financieras (no todas las entidades obligadas). Basada en la Directiva (UE) 2015/849; previsible sustitución por normas/directrices ALBC al aplicarse el AMLR.</t>
  </si>
  <si>
    <t xml:space="preserve">EBA-DR-07</t>
  </si>
  <si>
    <t xml:space="preserve">párr. 16</t>
  </si>
  <si>
    <t xml:space="preserve">cuando existan soluciones de contratación digital, estas también se ajusten a la Directiva mencionada y a las presentes directrices, y de que las soluciones digitales no produzcan rechazos automatizados</t>
  </si>
  <si>
    <t xml:space="preserve">Prohibición de rechazos automatizados en el alta digital de cuenta de pago básica (acceso no discriminatorio, art. 15 Directiva 2014/92/UE). Destinatarias: entidades de crédito y financieras (no todas las entidades obligadas). Basada en la Directiva (UE) 2015/849; previsible sustitución por normas/directrices ALBC al aplicarse el AMLR.</t>
  </si>
  <si>
    <t xml:space="preserve">EBA-DR-08</t>
  </si>
  <si>
    <t xml:space="preserve">párr. 19.a)</t>
  </si>
  <si>
    <t xml:space="preserve">E3; E4</t>
  </si>
  <si>
    <t xml:space="preserve">Las medidas que deben adoptarse cuando el cliente sea una persona que solicita asilo (...) y no pueda proporcionar a la entidad de crédito o financiera una forma tradicional de identificación</t>
  </si>
  <si>
    <t xml:space="preserve">Las políticas deben especificar documentación alternativa fiable (actualizada, expedida por autoridad nacional o local oficial, con nombre completo y fecha de nacimiento), cuando el Derecho nacional lo permita. Destinatarias: entidades de crédito y financieras (no todas las entidades obligadas). Basada en la Directiva (UE) 2015/849; previsible sustitución por normas/directrices ALBC al aplicarse el AMLR.</t>
  </si>
  <si>
    <t xml:space="preserve">R04; R05</t>
  </si>
  <si>
    <t xml:space="preserve">EBA-DR-09</t>
  </si>
  <si>
    <t xml:space="preserve">párr. 19.b)</t>
  </si>
  <si>
    <t xml:space="preserve">Las medidas que deben adoptarse cuando el cliente sea vulnerable y no pueda proporcionar formas tradicionales de identificación o una dirección</t>
  </si>
  <si>
    <t xml:space="preserve">Puede incluir documentos de identidad caducados y documentación de servicios sociales u ONG reconocidas que actúen en nombre de autoridades (p. ej. Cruz Roja), cuando lo permita el Derecho nacional. Destinatarias: entidades de crédito y financieras (no todas las entidades obligadas). Basada en la Directiva (UE) 2015/849; previsible sustitución por normas/directrices ALBC al aplicarse el AMLR.</t>
  </si>
  <si>
    <t xml:space="preserve">EBA-DR-10</t>
  </si>
  <si>
    <t xml:space="preserve">párr. 19.c)</t>
  </si>
  <si>
    <t xml:space="preserve">También pueden aplicarse procedimientos similares a personas que no dispongan de un permiso de residencia, pero cuya expulsión sea imposible por razones jurídicas o fácticas.</t>
  </si>
  <si>
    <t xml:space="preserve">Redacción potestativa ('pueden'). Destinatarias: entidades de crédito y financieras (no todas las entidades obligadas). Basada en la Directiva (UE) 2015/849; previsible sustitución por normas/directrices ALBC al aplicarse el AMLR.</t>
  </si>
  <si>
    <t xml:space="preserve">EBA-DR-11</t>
  </si>
  <si>
    <t xml:space="preserve">párr. 19.e)</t>
  </si>
  <si>
    <t xml:space="preserve">E3; E9</t>
  </si>
  <si>
    <t xml:space="preserve">las políticas y procedimientos indicarán qué formas alternativas de identificación puede aceptar la entidad y las opciones para aplazar la aplicación de todas las medidas de diligencia debida</t>
  </si>
  <si>
    <t xml:space="preserve">Supuesto: personas de 19.a-c que soliciten cuenta de pago y presenten bajo riesgo. 19.d): aplazamiento para tarjetas prepago de ayudas. Destinatarias: entidades de crédito y financieras (no todas las entidades obligadas). Basada en la Directiva (UE) 2015/849; previsible sustitución por normas/directrices ALBC al aplicarse el AMLR.</t>
  </si>
  <si>
    <t xml:space="preserve">R04; S6</t>
  </si>
  <si>
    <t xml:space="preserve">EBA-DR-12</t>
  </si>
  <si>
    <t xml:space="preserve">párr. 20</t>
  </si>
  <si>
    <t xml:space="preserve">incluirán, cuando el Derecho nacional lo permita, opciones y criterios para adaptar las características de los productos o servicios ofrecidos a un cliente determinado de forma individual y en función del riesgo.</t>
  </si>
  <si>
    <t xml:space="preserve">Opciones: ofrecer cuentas de pago básicas (20.a) o restricciones específicas (20.b). Destinatarias: entidades de crédito y financieras (no todas las entidades obligadas). Basada en la Directiva (UE) 2015/849; previsible sustitución por normas/directrices ALBC al aplicarse el AMLR.</t>
  </si>
  <si>
    <t xml:space="preserve">EBA-DR-13</t>
  </si>
  <si>
    <t xml:space="preserve">se aplican teniendo en cuenta la situación personal de las personas, los riesgos de BC/FT asociados a ellas y sus necesidades financieras básicas.</t>
  </si>
  <si>
    <t xml:space="preserve">Clientes especialmente vulnerables (párr. 19); lista de opciones de mitigación 21.a-h. Destinatarias: entidades de crédito y financieras (no todas las entidades obligadas). Basada en la Directiva (UE) 2015/849; previsible sustitución por normas/directrices ALBC al aplicarse el AMLR.</t>
  </si>
  <si>
    <t xml:space="preserve">EBA-DR-14</t>
  </si>
  <si>
    <t xml:space="preserve">cuando estas comuniquen la decisión de denegar o poner fin a una relación de negocios con un cliente o potencial cliente, deberán informar a esa persona de su derecho a ponerse en contacto</t>
  </si>
  <si>
    <t xml:space="preserve">Incluye organismo alternativo de resolución de litigios y datos de contacto. No exige comunicar los motivos de la denegación. El dato real es información sobre vías de reclamación (no hay valor exacto en la lista cerrada). Destinatarias: entidades de crédito y financieras (no todas las entidades obligadas). Basada en la Directiva (UE) 2015/849; previsible sustitución por normas/directrices ALBC al aplicarse el AMLR.</t>
  </si>
  <si>
    <t xml:space="preserve">ES-AML-01</t>
  </si>
  <si>
    <t xml:space="preserve">Ley 10/2010 de prevención del blanqueo de capitales (España)</t>
  </si>
  <si>
    <t xml:space="preserve">art. 3.1 párr. 1</t>
  </si>
  <si>
    <t xml:space="preserve">Los sujetos obligados identificarán a cuantas personas físicas o jurídicas pretendan establecer relaciones de negocio o intervenir en cualesquiera operaciones.</t>
  </si>
  <si>
    <t xml:space="preserve">https://www.boe.es/buscar/act.php?id=BOE-A-2010-6737</t>
  </si>
  <si>
    <t xml:space="preserve">'Pretendan' alcanza a solicitantes aún no clientes. Será desplazada en gran parte por el AMLR, directamente aplicable desde el 10-07-2027.</t>
  </si>
  <si>
    <t xml:space="preserve">ES-AML-02</t>
  </si>
  <si>
    <t xml:space="preserve">art. 3.1 párr. 2</t>
  </si>
  <si>
    <t xml:space="preserve">E1; E3; E4</t>
  </si>
  <si>
    <t xml:space="preserve">En ningún caso los sujetos obligados mantendrán relaciones de negocio o realizarán operaciones con personas físicas o jurídicas que no hayan sido debidamente identificadas.</t>
  </si>
  <si>
    <t xml:space="preserve">Será desplazada en gran parte por el AMLR, directamente aplicable desde el 10-07-2027.</t>
  </si>
  <si>
    <t xml:space="preserve">R07; R04; R05</t>
  </si>
  <si>
    <t xml:space="preserve">ES-AML-03</t>
  </si>
  <si>
    <t xml:space="preserve">art. 3.2</t>
  </si>
  <si>
    <t xml:space="preserve">E3; E4; E9</t>
  </si>
  <si>
    <t xml:space="preserve">Con carácter previo</t>
  </si>
  <si>
    <t xml:space="preserve">Con carácter previo al establecimiento de la relación de negocios o a la ejecución de cualesquiera operaciones, los sujetos obligados comprobarán la identidad de los intervinientes mediante documentos fehacientes.</t>
  </si>
  <si>
    <t xml:space="preserve">Excepción: art. 12 (no presenciales) salvo elementos de riesgo. Documentos fehacientes definidos reglamentariamente (RD 304/2014, no consultado). Será desplazada en gran parte por el AMLR, directamente aplicable desde el 10-07-2027.</t>
  </si>
  <si>
    <t xml:space="preserve">R04; R05; S6</t>
  </si>
  <si>
    <t xml:space="preserve">ES-AML-04</t>
  </si>
  <si>
    <t xml:space="preserve">art. 7.1 párr. 2</t>
  </si>
  <si>
    <t xml:space="preserve">deberán estar en condiciones de demostrar a las autoridades competentes que las medidas adoptadas tienen el alcance adecuado (...) mediante un previo análisis de riesgo que en todo caso deberá constar por escrito.</t>
  </si>
  <si>
    <t xml:space="preserve">Párr. 1: el grado de aplicación se recoge en la política expresa de admisión de clientes (art. 26). Será desplazada en gran parte por el AMLR, directamente aplicable desde el 10-07-2027.</t>
  </si>
  <si>
    <t xml:space="preserve">ES-AML-05</t>
  </si>
  <si>
    <t xml:space="preserve">art. 7.3 párr. 1</t>
  </si>
  <si>
    <t xml:space="preserve">Los sujetos obligados no establecerán relaciones de negocio ni ejecutarán operaciones cuando no puedan aplicar las medidas de diligencia debida previstas en esta Ley.</t>
  </si>
  <si>
    <t xml:space="preserve">El examen especial (art. 17) solo se menciona expresamente para la imposibilidad apreciada en el curso de la relación. Párr. 2: la negativa no genera responsabilidad salvo enriquecimiento injusto. Equivalente AMLR: art. 21.1. Será desplazada en gran parte por el AMLR, directamente aplicable desde el 10-07-2027.</t>
  </si>
  <si>
    <t xml:space="preserve">ES-AML-06</t>
  </si>
  <si>
    <t xml:space="preserve">art. 17 párr. 1</t>
  </si>
  <si>
    <t xml:space="preserve">Los sujetos obligados examinarán con especial atención cualquier hecho u operación, con independencia de su cuantía, que, por su naturaleza, pueda estar relacionado con el blanqueo (...) reseñando por escrito los resultados del examen.</t>
  </si>
  <si>
    <t xml:space="preserve">Aplicable a hechos detectados durante un alta (p. ej. indicios en la documentación aportada). Será desplazada en gran parte por el AMLR, directamente aplicable desde el 10-07-2027.</t>
  </si>
  <si>
    <t xml:space="preserve">ES-AML-07</t>
  </si>
  <si>
    <t xml:space="preserve">art. 18.1 párr. 1</t>
  </si>
  <si>
    <t xml:space="preserve">Sin dilación</t>
  </si>
  <si>
    <t xml:space="preserve">comunicarán, por iniciativa propia, al Servicio Ejecutivo de la Comisión (...) cualquier hecho u operación, incluso la mera tentativa, respecto al que, tras el examen especial (...) exista indicio o certeza</t>
  </si>
  <si>
    <t xml:space="preserve">'Sin dilación' figura en el art. 18.2. Destinatario: SEPBLAC. Será desplazada en gran parte por el AMLR, directamente aplicable desde el 10-07-2027.</t>
  </si>
  <si>
    <t xml:space="preserve">ES-AML-08</t>
  </si>
  <si>
    <t xml:space="preserve">art. 12.1.a)</t>
  </si>
  <si>
    <t xml:space="preserve">Un mes (copia del documento si la firma no es cualificada)</t>
  </si>
  <si>
    <t xml:space="preserve">En este caso no será necesaria la obtención de la copia del documento, si bien será preceptiva la conservación de los datos de identificación que justifiquen la validez del procedimiento.</t>
  </si>
  <si>
    <t xml:space="preserve">Alta no presencial con firma electrónica cualificada (Reglamento 910/2014). Será desplazada en gran parte por el AMLR, directamente aplicable desde el 10-07-2027.</t>
  </si>
  <si>
    <t xml:space="preserve">ES-AML-09</t>
  </si>
  <si>
    <t xml:space="preserve">art. 12.1 párr. 2</t>
  </si>
  <si>
    <t xml:space="preserve">Un mes desde el establecimiento de la relación de negocio</t>
  </si>
  <si>
    <t xml:space="preserve">en el plazo de un mes desde el establecimiento de la relación de negocio, los sujetos obligados deberán obtener de estos clientes una copia de los documentos necesarios para practicar la diligencia debida.</t>
  </si>
  <si>
    <t xml:space="preserve">ES-AML-10</t>
  </si>
  <si>
    <t xml:space="preserve">art. 12.1 párr. 3</t>
  </si>
  <si>
    <t xml:space="preserve">Cuando se aprecien discrepancias entre los datos facilitados por el cliente y otra información accesible o en poder del sujeto obligado, será preceptivo proceder a la identificación presencial.</t>
  </si>
  <si>
    <t xml:space="preserve">ES-AML-11</t>
  </si>
  <si>
    <t xml:space="preserve">art. 12.2</t>
  </si>
  <si>
    <t xml:space="preserve">Los sujetos obligados establecerán políticas y procedimientos para afrontar los riesgos específicos asociados con las relaciones de negocio y operaciones no presenciales.</t>
  </si>
  <si>
    <t xml:space="preserve">ES-AML-12</t>
  </si>
  <si>
    <t xml:space="preserve">art. 25.1</t>
  </si>
  <si>
    <t xml:space="preserve">10 años</t>
  </si>
  <si>
    <t xml:space="preserve">Los sujetos obligados conservarán durante un período de diez años la documentación en que se formalice el cumplimiento de las obligaciones establecidas en la presente ley, procediendo tras el mismo a su eliminación.</t>
  </si>
  <si>
    <t xml:space="preserve">Tras cinco años desde la terminación de la relación u operación, acceso restringido al control interno. El cómputo se refiere a relación u operación; no se regula expresamente la solicitud denegada (a diferencia del art. 77.3 AMLR, 5 años desde la negativa). Será desplazada en gran parte por el AMLR, directamente aplicable desde el 10-07-2027.</t>
  </si>
  <si>
    <t xml:space="preserve">ES-AML-13</t>
  </si>
  <si>
    <t xml:space="preserve">art. 25.2</t>
  </si>
  <si>
    <t xml:space="preserve">almacenarán las copias de los documentos de identificación a que se refiere el artículo 3.2 en soportes ópticos, magnéticos o electrónicos que garanticen su integridad, la correcta lectura de los datos, la imposibilidad de manipulación</t>
  </si>
  <si>
    <t xml:space="preserve">Plazo según art. 25.1. Será desplazada en gran parte por el AMLR, directamente aplicable desde el 10-07-2027.</t>
  </si>
  <si>
    <t xml:space="preserve">ES-AML-14</t>
  </si>
  <si>
    <t xml:space="preserve">art. 25.3</t>
  </si>
  <si>
    <t xml:space="preserve">la obligación de conservación se extenderá a los datos e información que acrediten la identificación por esos medios.</t>
  </si>
  <si>
    <t xml:space="preserve">Identificación conforme al Reglamento (UE) 910/2014 (eIDAS). Plazo según art. 25.1. Será desplazada en gran parte por el AMLR, directamente aplicable desde el 10-07-2027.</t>
  </si>
  <si>
    <t xml:space="preserve">GDPR-01</t>
  </si>
  <si>
    <t xml:space="preserve">RGPD</t>
  </si>
  <si>
    <t xml:space="preserve">Reglamento (UE) 2016/679 (RGPD)</t>
  </si>
  <si>
    <t xml:space="preserve">art. 5.1.c</t>
  </si>
  <si>
    <t xml:space="preserve">adecuados, pertinentes y limitados a lo necesario en relación con los fines para los que son tratados («minimización de datos»)</t>
  </si>
  <si>
    <t xml:space="preserve">https://eur-lex.europa.eu/legal-content/ES/TXT/HTML/?uri=CELEX:32016R0679</t>
  </si>
  <si>
    <t xml:space="preserve">Limita los datos recabados en el alta, también en solicitudes que no culminan.</t>
  </si>
  <si>
    <t xml:space="preserve">GDPR-02</t>
  </si>
  <si>
    <t xml:space="preserve">art. 5.1.e</t>
  </si>
  <si>
    <t xml:space="preserve">No más tiempo del necesario</t>
  </si>
  <si>
    <t xml:space="preserve">mantenidos de forma que se permita la identificación de los interesados durante no más tiempo del necesario para los fines del tratamiento de los datos personales;</t>
  </si>
  <si>
    <t xml:space="preserve">Clave para solicitudes abandonadas o denegadas: la conservación debe justificarse por otra base (p. ej., obligación AML).</t>
  </si>
  <si>
    <t xml:space="preserve">GDPR-03</t>
  </si>
  <si>
    <t xml:space="preserve">El responsable del tratamiento será responsable del cumplimiento de lo dispuesto en el apartado 1 y capaz de demostrarlo («responsabilidad proactiva»).</t>
  </si>
  <si>
    <t xml:space="preserve">Exige evidencia documentada del cumplimiento de los principios.</t>
  </si>
  <si>
    <t xml:space="preserve">GDPR-04</t>
  </si>
  <si>
    <t xml:space="preserve">art. 13.1</t>
  </si>
  <si>
    <t xml:space="preserve">En el momento de la obtención</t>
  </si>
  <si>
    <t xml:space="preserve">Cuando se obtengan de un interesado datos personales relativos a él, el responsable del tratamiento, en el momento en que estos se obtengan, le facilitará toda la información indicada a continuación:</t>
  </si>
  <si>
    <t xml:space="preserve">Incluye letras a) identidad del responsable, c) fines y base jurídica, e) destinatarios. Se debe al inicio, con independencia del resultado del alta.</t>
  </si>
  <si>
    <t xml:space="preserve">GDPR-05</t>
  </si>
  <si>
    <t xml:space="preserve">art. 13.2.a</t>
  </si>
  <si>
    <t xml:space="preserve">el plazo durante el cual se conservarán los datos personales o, cuando no sea posible, los criterios utilizados para determinar este plazo</t>
  </si>
  <si>
    <t xml:space="preserve">GDPR-06</t>
  </si>
  <si>
    <t xml:space="preserve">art. 13.2.f</t>
  </si>
  <si>
    <t xml:space="preserve">la existencia de decisiones automatizadas, incluida la elaboración de perfiles, a que se refiere el artículo 22, apartados 1 y 4, y, al menos en tales casos, información significativa sobre la lógica aplicada</t>
  </si>
  <si>
    <t xml:space="preserve">Continúa: «así como la importancia y las consecuencias previstas de dicho tratamiento para el interesado».</t>
  </si>
  <si>
    <t xml:space="preserve">GDPR-07</t>
  </si>
  <si>
    <t xml:space="preserve">art. 15.1</t>
  </si>
  <si>
    <t xml:space="preserve">El interesado tendrá derecho a obtener del responsable del tratamiento confirmación de si se están tratando o no datos personales que le conciernen</t>
  </si>
  <si>
    <t xml:space="preserve">Letra h): existencia de decisiones automatizadas y lógica aplicada. Plazo de respuesta en art. 12.3 (no codificado aquí). Frase completa del encabezado transcrita parcialmente por la herramienta.</t>
  </si>
  <si>
    <t xml:space="preserve">GDPR-08</t>
  </si>
  <si>
    <t xml:space="preserve">art. 15.3</t>
  </si>
  <si>
    <t xml:space="preserve">El responsable del tratamiento facilitará una copia de los datos personales objeto de tratamiento.</t>
  </si>
  <si>
    <t xml:space="preserve">Alcanza a solicitantes cuyo alta no culminó mientras sus datos sigan tratándose.</t>
  </si>
  <si>
    <t xml:space="preserve">GDPR-09</t>
  </si>
  <si>
    <t xml:space="preserve">art. 22.1</t>
  </si>
  <si>
    <t xml:space="preserve">Todo interesado tendrá derecho a no ser objeto de una decisión basada únicamente en el tratamiento automatizado, incluida la elaboración de perfiles, que produzca efectos jurídicos en él o le afecte significativamente de modo similar.</t>
  </si>
  <si>
    <t xml:space="preserve">Excepciones del art. 22.2: necesidad contractual (a), autorización legal (b), consentimiento explícito (c). Una denegación automatizada del alta puede entrar aquí.</t>
  </si>
  <si>
    <t xml:space="preserve">GDPR-10</t>
  </si>
  <si>
    <t xml:space="preserve">art. 22.3</t>
  </si>
  <si>
    <t xml:space="preserve">como mínimo el derecho a obtener intervención humana por parte del responsable, a expresar su punto de vista y a impugnar la decisión.</t>
  </si>
  <si>
    <t xml:space="preserve">Aplica en los casos del art. 22.2.a y c. El art. 22 no menciona expresamente un «derecho a explicación»: este se apoya en arts. 13.2.f y 15.1.h (y en el considerando 71, no verificado aquí).</t>
  </si>
  <si>
    <t xml:space="preserve">GDPR-11</t>
  </si>
  <si>
    <t xml:space="preserve">el responsable del tratamiento aplicará, tanto en el momento de determinar los medios de tratamiento como en el momento del propio tratamiento, medidas técnicas y organizativas apropiadas</t>
  </si>
  <si>
    <t xml:space="preserve">Protección de datos desde el diseño, ponderando los riesgos del tratamiento.</t>
  </si>
  <si>
    <t xml:space="preserve">GDPR-12</t>
  </si>
  <si>
    <t xml:space="preserve">garantizar que, por defecto, solo sean objeto de tratamiento los datos personales que sean necesarios para cada uno de los fines específicos del tratamiento.</t>
  </si>
  <si>
    <t xml:space="preserve">Protección de datos por defecto.</t>
  </si>
  <si>
    <t xml:space="preserve">GDPR-13</t>
  </si>
  <si>
    <t xml:space="preserve">art. 30.1</t>
  </si>
  <si>
    <t xml:space="preserve">Cada responsable y, en su caso, su representante llevarán un registro de las actividades de tratamiento efectuadas bajo su responsabilidad.</t>
  </si>
  <si>
    <t xml:space="preserve">Incluye c) categorías de interesados y datos, f) plazos previstos para la supresión, g) medidas de seguridad. Disponible para la autoridad (art. 30.4, no codificado).</t>
  </si>
  <si>
    <t xml:space="preserve">GDPR-14</t>
  </si>
  <si>
    <t xml:space="preserve">art. 35.1; art. 35.3.a</t>
  </si>
  <si>
    <t xml:space="preserve">Antes del tratamiento</t>
  </si>
  <si>
    <t xml:space="preserve">el responsable del tratamiento realizará, antes del tratamiento, una evaluación del impacto de las operaciones de tratamiento en la protección de datos personales.</t>
  </si>
  <si>
    <t xml:space="preserve">Art. 35.3.a: evaluación sistemática de aspectos personales basada en tratamiento automatizado, como la elaboración de perfiles, con decisiones con efectos jurídicos (p. ej., scoring en el alta).</t>
  </si>
  <si>
    <t xml:space="preserve">AIA-01</t>
  </si>
  <si>
    <t xml:space="preserve">AI Act</t>
  </si>
  <si>
    <t xml:space="preserve">Reglamento (UE) 2024/1689 (AI Act)</t>
  </si>
  <si>
    <t xml:space="preserve">art. 12.1</t>
  </si>
  <si>
    <t xml:space="preserve">Aplicable_desde_2027-12-02</t>
  </si>
  <si>
    <t xml:space="preserve">Los sistemas de IA de alto riesgo permitirán técnicamente el registro automático de acontecimientos (en lo sucesivo, «archivos de registro») a lo largo de todo el ciclo de vida del sistema.</t>
  </si>
  <si>
    <t xml:space="preserve">https://eur-lex.europa.eu/legal-content/ES/TXT/HTML/?uri=CELEX:32024R1689</t>
  </si>
  <si>
    <t xml:space="preserve">Obligación de diseño del proveedor; los registros abarcan toda solicitud procesada, culmine o no. Solo si el alta incluye evaluación de solvencia/calificación crediticia (anexo III, 5.b); no la verificación biométrica 1:1 (anexo III, 1.a) ni la detección de fraude.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</si>
  <si>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AIA-02</t>
  </si>
  <si>
    <t xml:space="preserve">las capacidades de registro permitirán que se registren acontecimientos pertinentes para:</t>
  </si>
  <si>
    <t xml:space="preserve">Finalidades: detectar riesgos o modificaciones sustanciales (a), seguimiento poscomercialización (b), vigilancia del funcionamiento por el responsable del despliegue (c). Solo si el alta incluye evaluación de solvencia/calificación crediticia (anexo III, 5.b); no la verificación biométrica 1:1 (anexo III, 1.a) ni la detección de fraude.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</si>
  <si>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AIA-03</t>
  </si>
  <si>
    <t xml:space="preserve">art. 14.1</t>
  </si>
  <si>
    <t xml:space="preserve">Los sistemas de IA de alto riesgo se diseñarán y desarrollarán de modo que puedan ser vigilados de manera efectiva por personas físicas durante el período que estén en uso</t>
  </si>
  <si>
    <t xml:space="preserve">Obligación de diseño (proveedor). Solo si el alta incluye evaluación de solvencia/calificación crediticia (anexo III, 5.b); no la verificación biométrica 1:1 (anexo III, 1.a) ni la detección de fraude.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</si>
  <si>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AIA-04</t>
  </si>
  <si>
    <t xml:space="preserve">art. 14.4.d</t>
  </si>
  <si>
    <t xml:space="preserve">decidir, en cualquier situación concreta, no utilizar el sistema de IA de alto riesgo o descartar, invalidar o revertir los resultados de salida que este genere</t>
  </si>
  <si>
    <t xml:space="preserve">Capacidad que debe permitirse a las personas encargadas de la supervisión. Solo si el alta incluye evaluación de solvencia/calificación crediticia (anexo III, 5.b); no la verificación biométrica 1:1 (anexo III, 1.a) ni la detección de fraude.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</si>
  <si>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AIA-05</t>
  </si>
  <si>
    <t xml:space="preserve">art. 19.1</t>
  </si>
  <si>
    <t xml:space="preserve">Mínimo 6 meses</t>
  </si>
  <si>
    <t xml:space="preserve">se conservarán durante un período de tiempo adecuado para la finalidad prevista del sistema de IA de alto riesgo, de al menos seis meses</t>
  </si>
  <si>
    <t xml:space="preserve">Proveedor, respecto de los registros bajo su control, salvo otra disposición del Derecho de la Unión o nacional. Solo si el alta incluye evaluación de solvencia/calificación crediticia (anexo III, 5.b); no la verificación biométrica 1:1 (anexo III, 1.a) ni la detección de fraude.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</si>
  <si>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AIA-06</t>
  </si>
  <si>
    <t xml:space="preserve">art. 19.2</t>
  </si>
  <si>
    <t xml:space="preserve">Según Derecho de servicios financieros</t>
  </si>
  <si>
    <t xml:space="preserve">mantendrán los archivos de registro generados automáticamente por sus sistemas de IA de alto riesgo como parte de la documentación conservada en virtud del Derecho pertinente en materia de servicios financieros.</t>
  </si>
  <si>
    <t xml:space="preserve">Proveedores que sean entidades financieras. Solo si el alta incluye evaluación de solvencia/calificación crediticia (anexo III, 5.b); no la verificación biométrica 1:1 (anexo III, 1.a) ni la detección de fraude.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</si>
  <si>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AIA-07</t>
  </si>
  <si>
    <t xml:space="preserve">art. 26.2</t>
  </si>
  <si>
    <t xml:space="preserve">Los responsables del despliegue encomendarán la supervisión humana a personas físicas que tengan la competencia, la formación y la autoridad necesarias.</t>
  </si>
  <si>
    <t xml:space="preserve">Solo si el alta incluye evaluación de solvencia/calificación crediticia (anexo III, 5.b); no la verificación biométrica 1:1 (anexo III, 1.a) ni la detección de fraude. Corregida la cita: el texto ES no incluye «así como el apoyo necesario».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</si>
  <si>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AIA-08</t>
  </si>
  <si>
    <t xml:space="preserve">art. 26.5</t>
  </si>
  <si>
    <t xml:space="preserve">Los responsables del despliegue vigilarán el funcionamiento del sistema de IA de alto riesgo basándose en las instrucciones de uso</t>
  </si>
  <si>
    <t xml:space="preserve">Párrafo sobre entidades financieras: la obligación de vigilancia se considera cumplida al respetar las normas de gobernanza interna del Derecho de servicios financieros. Informar a proveedores conforme al art. 72. Solo si el alta incluye evaluación de solvencia/calificación crediticia (anexo III, 5.b); no la verificación biométrica 1:1 (anexo III, 1.a) ni la detección de fraude.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</si>
  <si>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AIA-09</t>
  </si>
  <si>
    <t xml:space="preserve">art. 26.6</t>
  </si>
  <si>
    <t xml:space="preserve">conservarán los archivos de registro que los sistemas de IA de alto riesgo generen automáticamente (...) durante un período de tiempo adecuado (...) de al menos seis meses</t>
  </si>
  <si>
    <t xml:space="preserve">Registros bajo su control; salvo otra disposición del Derecho de la Unión o nacional (en particular de protección de datos). Solo si el alta incluye evaluación de solvencia/calificación crediticia (anexo III, 5.b); no la verificación biométrica 1:1 (anexo III, 1.a) ni la detección de fraude.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</si>
  <si>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AIA-10</t>
  </si>
  <si>
    <t xml:space="preserve">art. 26.6 (párr. 2)</t>
  </si>
  <si>
    <t xml:space="preserve">mantendrán los archivos de registro como parte de la documentación conservada en virtud del Derecho de la Unión en materia de servicios financieros.</t>
  </si>
  <si>
    <t xml:space="preserve">Responsables del despliegue que sean entidades financieras. Solo si el alta incluye evaluación de solvencia/calificación crediticia (anexo III, 5.b); no la verificación biométrica 1:1 (anexo III, 1.a) ni la detección de fraude.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</si>
  <si>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AIA-11</t>
  </si>
  <si>
    <t xml:space="preserve">art. 26.9</t>
  </si>
  <si>
    <t xml:space="preserve">Antes del uso</t>
  </si>
  <si>
    <t xml:space="preserve">utilizarán la información facilitada conforme al artículo 13 del presente Reglamento para cumplir la obligación de llevar a cabo una evaluación de impacto relativa a la protección de datos</t>
  </si>
  <si>
    <t xml:space="preserve">Enlaza con art. 35 RGPD (GDPR-14). Evaluación ex ante, no por solicitud. Solo si el alta incluye evaluación de solvencia/calificación crediticia (anexo III, 5.b); no la verificación biométrica 1:1 (anexo III, 1.a) ni la detección de fraude.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</si>
  <si>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AIA-12</t>
  </si>
  <si>
    <t xml:space="preserve">art. 26.11</t>
  </si>
  <si>
    <t xml:space="preserve">que tomen decisiones o ayuden a tomar decisiones relacionadas con personas físicas informarán a las personas físicas de que están expuestas a la utilización de los sistemas de IA de alto riesgo.</t>
  </si>
  <si>
    <t xml:space="preserve">Responsables del despliegue de sistemas del anexo III. Solo si el alta incluye evaluación de solvencia/calificación crediticia (anexo III, 5.b); no la verificación biométrica 1:1 (anexo III, 1.a) ni la detección de fraude.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</si>
  <si>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AIA-13</t>
  </si>
  <si>
    <t xml:space="preserve">art. 27.1</t>
  </si>
  <si>
    <t xml:space="preserve">Antes del primer despliegue</t>
  </si>
  <si>
    <t xml:space="preserve">los responsable del despliegue de sistemas de IA de alto riesgo a que se refiere el anexo III, punto 5, letras b) y c), llevarán a cabo una evaluación del impacto</t>
  </si>
  <si>
    <t xml:space="preserve">Evaluación de impacto en derechos fundamentales; menciona expresamente a quienes evalúan solvencia (5.b). Ex ante, no por solicitud; puede complementar la EIPD (art. 27.4). Solo si el alta incluye evaluación de solvencia/calificación crediticia (anexo III, 5.b); no la verificación biométrica 1:1 (anexo III, 1.a) ni la detección de fraude. Cita literal ('los responsable', así en el texto ES). El art. 27.4 y 27.5 fueron sustituidos por el Reglamento (UE) 2026/1744 (referencias cruzadas a la EIPD; cuestionario automatizado); el 27.1 no cambia.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</si>
  <si>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AIA-14</t>
  </si>
  <si>
    <t xml:space="preserve">art. 27.3</t>
  </si>
  <si>
    <t xml:space="preserve">Tras la evaluación</t>
  </si>
  <si>
    <t xml:space="preserve">el responsable del despliegue notificará sus resultados a la autoridad de vigilancia del mercado</t>
  </si>
  <si>
    <t xml:space="preserve">Mediante el modelo de cuestionario de la Oficina de IA (art. 27.5). Solo si el alta incluye evaluación de solvencia/calificación crediticia (anexo III, 5.b); no la verificación biométrica 1:1 (anexo III, 1.a) ni la detección de fraude. Art. 27.3 sin cambios tras el Reglamento (UE) 2026/1744; exención posible en el caso del art. 46.1. Verificado en el texto ES de EUR-Lex. Fecha: art. 113, párr. 3, letra c), inciso i), en la redacción del Reglamento (UE) 2026/1744 (Ómnibus digital sobre IA): el capítulo III, secciones 1 a 3, se aplica a los sistemas del anexo III desde el 2-12-2027 (antes, 2-8-2026). Anexo III verificado: 1.a) excluye la verificación biométrica cuya única finalidad sea confirmar que la persona es quien afirma ser; 5.b) excluye los sistemas para detectar fraudes financieros.</t>
  </si>
  <si>
    <t xml:space="preserve">AIA-15</t>
  </si>
  <si>
    <t xml:space="preserve">art. 86.1</t>
  </si>
  <si>
    <t xml:space="preserve">Aplicable_desde_2026-08-02</t>
  </si>
  <si>
    <t xml:space="preserve">tendrá derecho a obtener del responsable del despliegue explicaciones claras y significativas acerca del papel que el sistema de IA ha tenido en el proceso de toma de decisiones</t>
  </si>
  <si>
    <t xml:space="preserve">Decisiones basadas en salidas de sistemas del anexo III (salvo punto 2) con efectos jurídicos o similares; cubre la denegación del alta. Solo si el alta incluye evaluación de solvencia/calificación crediticia (anexo III, 5.b); no la verificación biométrica 1:1 (anexo III, 1.a) ni la detección de fraude. Verificado en el texto ES de EUR-Lex. El art. 86 (capítulo IX) no está en el art. 113, párr. 3, c): sigue la fecha general del 2-8-2026, pero solo opera respecto de sistemas del anexo III cuyas obligaciones se aplican desde el 2-12-2027 (Reglamento (UE) 2026/1744). Cita parcial: continúa «y los principales elementos de la decisión adoptada».</t>
  </si>
  <si>
    <t xml:space="preserve">AIA-16</t>
  </si>
  <si>
    <t xml:space="preserve">art. 4 bis.1.f) (introducido por el Reglamento (UE) 2026/1744; antes art. 10.5.f)</t>
  </si>
  <si>
    <t xml:space="preserve">Aplicable_desde_2026-07-27</t>
  </si>
  <si>
    <t xml:space="preserve">incluyan las razones por las que el tratamiento de categorías especiales de datos personales era estrictamente necesario para detectar y corregir sesgos</t>
  </si>
  <si>
    <t xml:space="preserve">https://eur-lex.europa.eu/legal-content/ES/TXT/HTML/?uri=CELEX:32026R1744</t>
  </si>
  <si>
    <t xml:space="preserve">Proveedores; en los registros de actividades de tratamiento del RGPD. Afecta a los datos de entrenamiento/prueba, no necesariamente a cada solicitud. Solo si el alta incluye evaluación de solvencia/calificación crediticia (anexo III, 5.b); no la verificación biométrica 1:1 (anexo III, 1.a) ni la detección de fraude. El Reglamento (UE) 2026/1744 suprime el art. 10.5 y traslada su contenido al nuevo art. 4 bis (en vigor el 27-7-2026, tres días después de su publicación el 24-7-2026). El art. 4 bis.2 permite también a los responsables del despliegue de sistemas de alto riesgo tratar estas categorías con las mismas garantías. Verificado en el texto ES de EUR-Lex.</t>
  </si>
  <si>
    <t xml:space="preserve">AIA-17</t>
  </si>
  <si>
    <t xml:space="preserve">art. 4 bis.1.e) (introducido por el Reglamento (UE) 2026/1744; antes art. 10.5.e)</t>
  </si>
  <si>
    <t xml:space="preserve">Hasta corregir el sesgo o fin del período de conservación</t>
  </si>
  <si>
    <t xml:space="preserve">que las categorías especiales de datos personales se eliminen una vez que se haya corregido el sesgo o los datos personales hayan llegado al final de su período de conservación, si esta fecha es anterior</t>
  </si>
  <si>
    <t xml:space="preserve">Supresión de categorías especiales tratadas para detectar sesgos. Solo si el alta incluye evaluación de solvencia/calificación crediticia (anexo III, 5.b); no la verificación biométrica 1:1 (anexo III, 1.a) ni la detección de fraude. El Reglamento (UE) 2026/1744 suprime el art. 10.5 y traslada su contenido al nuevo art. 4 bis (en vigor el 27-7-2026). Cita corregida al texto literal. Verificado en el texto ES de EUR-Lex.</t>
  </si>
  <si>
    <t xml:space="preserve">DORA-01</t>
  </si>
  <si>
    <t xml:space="preserve">DORA</t>
  </si>
  <si>
    <t xml:space="preserve">Reglamento (UE) 2022/2554 (DORA)</t>
  </si>
  <si>
    <t xml:space="preserve">art. 17.2</t>
  </si>
  <si>
    <t xml:space="preserve">Las entidades financieras registrarán todos los incidentes relacionados con las TIC y las ciberamenazas importantes.</t>
  </si>
  <si>
    <t xml:space="preserve">https://eur-lex.europa.eu/legal-content/ES/TXT/HTML/?uri=CELEX:32022R2554</t>
  </si>
  <si>
    <t xml:space="preserve">Observa incidentes TIC agregados, no recorridos individuales de clientes; solo capta solicitudes no culminadas por fallo técnico (E2). Incluye la caída del canal digital de alta o del proveedor externo de verificación de identidad. Aplicable desde 17-01-2025. Corregida la cita: el texto ES dice «importantes», no «significativas». Verificado en el texto ES de EUR-Lex (DORA sin modificaciones; solo correcciones de errores y actos delegados que lo completan). Aplicable desde el 17-1-2025 (art. 64).</t>
  </si>
  <si>
    <t xml:space="preserve">DORA-02</t>
  </si>
  <si>
    <t xml:space="preserve">para que los incidentes relacionados con las TIC sean objeto de un seguimiento (...) a fin de asegurarse de que se identifiquen, se documenten y se aborden las causas subyacentes</t>
  </si>
  <si>
    <t xml:space="preserve">Observa incidentes TIC agregados, no recorridos individuales de clientes; solo capta solicitudes no culminadas por fallo técnico (E2). Documentación de causas profundas del fallo. Cita corregida al texto literal. Verificado en el texto ES de EUR-Lex (DORA sin modificaciones; solo correcciones de errores y actos delegados que lo completan). Aplicable desde el 17-1-2025 (art. 64).</t>
  </si>
  <si>
    <t xml:space="preserve">DORA-03</t>
  </si>
  <si>
    <t xml:space="preserve">art. 17.3.b</t>
  </si>
  <si>
    <t xml:space="preserve">establecerá procedimientos para identificar, rastrear, registrar, categorizar y clasificar los incidentes relacionados con las TIC en función de su prioridad y gravedad y en función del carácter esencial de los servicios perjudicados</t>
  </si>
  <si>
    <t xml:space="preserve">Observa incidentes TIC agregados, no recorridos individuales de clientes; solo capta solicitudes no culminadas por fallo técnico (E2). Cita corregida al texto literal (el sujeto es el proceso de gestión de incidentes del apdo. 1). Verificado en el texto ES de EUR-Lex (DORA sin modificaciones; solo correcciones de errores y actos delegados que lo completan). Aplicable desde el 17-1-2025 (art. 64).</t>
  </si>
  <si>
    <t xml:space="preserve">DORA-04</t>
  </si>
  <si>
    <t xml:space="preserve">art. 17.3.d</t>
  </si>
  <si>
    <t xml:space="preserve">expondrá planes para la comunicación con el personal, las partes interesadas externas y los medios de comunicación de conformidad con el artículo 14, para la notificación a los clientes</t>
  </si>
  <si>
    <t xml:space="preserve">Observa incidentes TIC agregados, no recorridos individuales de clientes; solo capta solicitudes no culminadas por fallo técnico (E2). Exige planes de comunicación, no informar a cada solicitante; dudoso que alcance a solicitantes que aún no son clientes. Cita corregida al texto literal. Verificado en el texto ES de EUR-Lex (DORA sin modificaciones; solo correcciones de errores y actos delegados que lo completan). Aplicable desde el 17-1-2025 (art. 64).</t>
  </si>
  <si>
    <t xml:space="preserve">DORA-05</t>
  </si>
  <si>
    <t xml:space="preserve">art. 18.1</t>
  </si>
  <si>
    <t xml:space="preserve">Las entidades financieras clasificarán los incidentes relacionados con las TIC y determinarán su repercusión con arreglo a los siguientes criterios: a) número y/o pertinencia de los clientes o las contrapartes financieras afectados</t>
  </si>
  <si>
    <t xml:space="preserve">Observa incidentes TIC agregados, no recorridos individuales de clientes; solo capta solicitudes no culminadas por fallo técnico (E2). El criterio a) cuenta clientes afectados (agregado). Criterios detallados en el Reglamento Delegado (UE) 2024/1772. Cita corregida al texto literal. Verificado en el texto ES de EUR-Lex (DORA sin modificaciones; solo correcciones de errores y actos delegados que lo completan). Aplicable desde el 17-1-2025 (art. 64).</t>
  </si>
  <si>
    <t xml:space="preserve">DORA-06</t>
  </si>
  <si>
    <t xml:space="preserve">Las entidades financieras notificarán los incidentes graves relacionados con las TIC a la autoridad competente pertinente a que se refiere el artículo 46</t>
  </si>
  <si>
    <t xml:space="preserve">Observa incidentes TIC agregados, no recorridos individuales de clientes; solo capta solicitudes no culminadas por fallo técnico (E2). Solo incidentes clasificados como graves conforme al art. 18. Para entidades de crédito significativas, la autoridad competente es el BCE (destinatario Banco_de_Espana como aproximación para España). Verificado en el texto ES de EUR-Lex (DORA sin modificaciones; solo correcciones de errores y actos delegados que lo completan). Aplicable desde el 17-1-2025 (art. 64).</t>
  </si>
  <si>
    <t xml:space="preserve">DORA-07</t>
  </si>
  <si>
    <t xml:space="preserve">art. 19.4</t>
  </si>
  <si>
    <t xml:space="preserve">a) una notificación inicial; b) un informe intermedio posterior a la notificación inicial (...) c) un informe final, cuando haya concluido el análisis de la causa subyacente</t>
  </si>
  <si>
    <t xml:space="preserve">Observa incidentes TIC agregados, no recorridos individuales de clientes; solo capta solicitudes no culminadas por fallo técnico (E2). DORA no fija los plazos en horas; los fijan normas técnicas (art. 20; Reglamento Delegado (UE) 2025/301). Cita corregida al texto literal. Verificado en el texto ES de EUR-Lex (DORA sin modificaciones; solo correcciones de errores y actos delegados que lo completan). Aplicable desde el 17-1-2025 (art. 64).</t>
  </si>
  <si>
    <t xml:space="preserve">DORA-08</t>
  </si>
  <si>
    <t xml:space="preserve">art. 19.3</t>
  </si>
  <si>
    <t xml:space="preserve">Sin demora indebida</t>
  </si>
  <si>
    <t xml:space="preserve">las entidades financieras informarán sin demora indebida de dicho incidente tan pronto como tengan conocimiento del mismo, a sus clientes y les comunicarán todas las medidas que se hayan adoptado para mitigar sus efectos adversos.</t>
  </si>
  <si>
    <t xml:space="preserve">Observa incidentes TIC agregados, no recorridos individuales de clientes; solo capta solicitudes no culminadas por fallo técnico (E2). Solo incidentes graves con repercusión en los intereses financieros de los clientes; un solicitante cuya alta no culmina probablemente no es aún 'cliente' (por eso No). Cita corregida al texto literal; presupuesto: incidente grave con consecuencias para los intereses financieros de los clientes. Verificado en el texto ES de EUR-Lex (DORA sin modificaciones; solo correcciones de errores y actos delegados que lo completan). Aplicable desde el 17-1-2025 (art. 64).</t>
  </si>
  <si>
    <t xml:space="preserve">DORA-09</t>
  </si>
  <si>
    <t xml:space="preserve">art. 28.3, párr. 1</t>
  </si>
  <si>
    <t xml:space="preserve">las entidades financieras mantendrán y actualizarán a nivel de la entidad, y a nivel subconsolidado y consolidado, un registro de información en relación con todos los acuerdos contractuales sobre el uso de servicios de TIC</t>
  </si>
  <si>
    <t xml:space="preserve">Incluye el contrato con el proveedor externo de verificación de identidad usado en el alta. Registra acuerdos, no solicitudes ni fallos (por eso No). Plantillas en Reglamento de Ejecución (UE) 2024/2956. Cita corregida al texto literal. Verificado en el texto ES de EUR-Lex (DORA sin modificaciones; solo correcciones de errores y actos delegados que lo completan). Aplicable desde el 17-1-2025 (art. 64).</t>
  </si>
  <si>
    <t xml:space="preserve">DORA-10</t>
  </si>
  <si>
    <t xml:space="preserve">art. 28.3, párr. 2 y 3</t>
  </si>
  <si>
    <t xml:space="preserve">Al menos una vez al año</t>
  </si>
  <si>
    <t xml:space="preserve">comunicarán al menos una vez al año a las autoridades competentes información sobre el número de nuevos acuerdos (...) pondrán a disposición de la autoridad competente que lo solicite el registro completo de información</t>
  </si>
  <si>
    <t xml:space="preserve">Comunicación del registro de proveedores TIC; no observa solicitudes individuales. Cita corregida al texto literal. Verificado en el texto ES de EUR-Lex (DORA sin modificaciones; solo correcciones de errores y actos delegados que lo completan). Aplicable desde el 17-1-2025 (art. 64).</t>
  </si>
  <si>
    <t xml:space="preserve">EIDAS-01</t>
  </si>
  <si>
    <t xml:space="preserve">eIDAS 2</t>
  </si>
  <si>
    <t xml:space="preserve">Reglamento (UE) 2024/1183 (eIDAS 2)</t>
  </si>
  <si>
    <t xml:space="preserve">art. 5 septies.2 del Reglamento (UE) 910/2014, introducido por el art. 1 del Reglamento (UE) 2024/1183</t>
  </si>
  <si>
    <t xml:space="preserve">Aplicable_desde_2027-12-24</t>
  </si>
  <si>
    <t xml:space="preserve">Treinta y seis meses desde la entrada en vigor de los actos de ejecución (arts. 5 bis.23 y 5 quater.6)</t>
  </si>
  <si>
    <t xml:space="preserve">dichas partes usuarias privadas también aceptarán, a más tardar treinta y seis meses a partir de la fecha de entrada en vigor de los actos de ejecución (...) las carteras europeas de identidad digital</t>
  </si>
  <si>
    <t xml:space="preserve">https://eur-lex.europa.eu/legal-content/ES/TXT/HTML/?uri=CELEX:32024R1183</t>
  </si>
  <si>
    <t xml:space="preserve">Obligación de ACEPTAR la cartera para la identificación/autenticación en línea cuando la parte usuaria privada esté obligada a usar autenticación reforzada (excluidas micro y pequeñas empresas). Ningún tipo de la taxonomía encaja; se usa Abstenerse en el sentido de abstenerse de rechazar la cartera como medio de identificación en el alta. El texto NO da fecha de calendario: remite a los actos de ejecución de los arts. 5 bis.23 y 5 quater.6. Los principales (Reglamentos de Ejecución (UE) 2024/2977 a 2024/2982) entraron en vigor el 24-12-2024, de ahí la fecha estimada 2027-12-24. No genera registro por sí misma. Verificado en el texto ES del Reglamento (UE) 2024/1183 (EUR-Lex). Plazo literal: «a más tardar treinta y seis meses a partir de la fecha de entrada en vigor de los actos de ejecución a que se refieren el artículo 5 bis, apartado 23, y el artículo 5 quater, apartado 6, y únicamente a petición voluntaria del usuario». La fecha 2027-12-24 de 'vigencia' es una estimación a partir de los actos de ejecución, que no he leído en esta verificación. El supuesto incluye expresamente «la banca, los servicios financieros».</t>
  </si>
  <si>
    <t xml:space="preserve">EIDAS-02</t>
  </si>
  <si>
    <t xml:space="preserve">art. 5 ter.1 del Reglamento (UE) 910/2014, introducido por el art. 1 del Reglamento (UE) 2024/1183</t>
  </si>
  <si>
    <t xml:space="preserve">Cuando una parte usuaria tenga previsto utilizar carteras europeas de identidad digital para prestar servicios públicos o privados mediante una interacción digital, se registrará en el Estado miembro en el que esté establecida.</t>
  </si>
  <si>
    <t xml:space="preserve">Requisito previo para aceptar la cartera en el alta: la entidad se registra ante el registro nacional de partes usuarias declarando uso previsto y datos que solicitará (art. 5 ter.2). Destinatario: organismo nacional de registro (no previsto en la lista, por eso Varios). Vigencia práctica ligada a los actos de ejecución sobre registro. Cita corregida al texto literal del Reglamento (UE) 2024/1183 (EUR-Lex ES). Art. 5 ter.3: no podrá solicitar a los usuarios datos distintos de los declarados; 5 ter.6: comunicar sin demora los cambios.</t>
  </si>
  <si>
    <t xml:space="preserve">ES-EAA-01</t>
  </si>
  <si>
    <t xml:space="preserve">Accesibilidad</t>
  </si>
  <si>
    <t xml:space="preserve">Ley 11/2023 (trasposición Ley Europea de Accesibilidad)</t>
  </si>
  <si>
    <t xml:space="preserve">anexo I, sección IV, letra e), ordinal 1.º (en relación con art. 3.1 párr. 3)</t>
  </si>
  <si>
    <t xml:space="preserve">E0; E1</t>
  </si>
  <si>
    <t xml:space="preserve">Servicios bancarios para consumidores: 1.º) Facilitando métodos de identificación, firmas electrónicas, seguridad y servicios de pago que sean perceptibles, funcionales, comprensibles y resistentes</t>
  </si>
  <si>
    <t xml:space="preserve">https://www.boe.es/buscar/act.php?id=BOE-A-2023-11022</t>
  </si>
  <si>
    <t xml:space="preserve">Ámbito: prestadores de servicios bancarios para consumidores (art. 2.2.d), salvo microempresas que presten servicios (art. 3.3). Trasposición literal de EAA-01. Requisito de diseño codificado como Abstenerse. Dato: método de identificación (Identidad, valor más cercano). Parcial: alcanza a todo solicitante pero no registra intentos. Título I en vigor el 28-6-2025 (DF 18.ª.2). Transitorio: DT única (productos ya usados hasta 28-6-2030; contratos previos hasta su expiración, máx. 5 años).</t>
  </si>
  <si>
    <t xml:space="preserve">S0; R01</t>
  </si>
  <si>
    <t xml:space="preserve">ES-EAA-02</t>
  </si>
  <si>
    <t xml:space="preserve">anexo I, sección IV, letra e), ordinal 2.º (en relación con art. 3.1 párr. 3)</t>
  </si>
  <si>
    <t xml:space="preserve">garantizando que la información sea comprensible, sin rebasar un nivel de complejidad superior al nivel B2 (intermedio alto) del Marco Común Europeo de Referencia para las Lenguas</t>
  </si>
  <si>
    <t xml:space="preserve">Ámbito: prestadores de servicios bancarios para consumidores (art. 2.2.d), salvo microempresas que presten servicios (art. 3.3). Trasposición literal de EAA-02. Dato: información del servicio (valor más cercano). Título I en vigor el 28-6-2025 (DF 18.ª.2). Transitorio: DT única (productos ya usados hasta 28-6-2030; contratos previos hasta su expiración, máx. 5 años).</t>
  </si>
  <si>
    <t xml:space="preserve">ES-EAA-03</t>
  </si>
  <si>
    <t xml:space="preserve">anexo I, sección III, letra b) (en relación con art. 3.1 párr. 3)</t>
  </si>
  <si>
    <t xml:space="preserve">proporcionando información sobre el funcionamiento del servicio (...) así como información sobre sus características de accesibilidad e interoperabilidad con dispositivos y equipamientos de apoyo</t>
  </si>
  <si>
    <t xml:space="preserve">Ámbito: prestadores de servicios bancarios para consumidores (art. 2.2.d), salvo microempresas que presten servicios (art. 3.3). Trasposición literal de EAA-03 (ordinales 1.º-7.º). Título I en vigor el 28-6-2025 (DF 18.ª.2). Transitorio: DT única (productos ya usados hasta 28-6-2030; contratos previos hasta su expiración, máx. 5 años).</t>
  </si>
  <si>
    <t xml:space="preserve">ES-EAA-04</t>
  </si>
  <si>
    <t xml:space="preserve">anexo I, sección III, letra c) (en relación con art. 3.1 párr. 3)</t>
  </si>
  <si>
    <t xml:space="preserve">Haciendo que los sitios web, incluidas las aplicaciones en línea conexas, y los servicios basados en dispositivos móviles, incluidas las aplicaciones para dispositivos móviles, sean accesibles</t>
  </si>
  <si>
    <t xml:space="preserve">Ámbito: prestadores de servicios bancarios para consumidores (art. 2.2.d), salvo microempresas que presten servicios (art. 3.3). Trasposición literal de EAA-04. Ningún valor de 'dato' encaja (objeto: el canal); se usa Informacion_tratamiento. Título I en vigor el 28-6-2025 (DF 18.ª.2). Transitorio: DT única (productos ya usados hasta 28-6-2030; contratos previos hasta su expiración, máx. 5 años).</t>
  </si>
  <si>
    <t xml:space="preserve">ES-EAA-05</t>
  </si>
  <si>
    <t xml:space="preserve">art. 13.2</t>
  </si>
  <si>
    <t xml:space="preserve">Los prestadores de servicios incluirán, en las condiciones generales o documento equivalente, la información que evalúe de qué manera el servicio cumple los requisitos de accesibilidad establecidos en el artículo 3</t>
  </si>
  <si>
    <t xml:space="preserve">Ámbito: prestadores de servicios bancarios para consumidores (art. 2.2.d), salvo microempresas que presten servicios (art. 3.3). Incorpora al articulado el anexo V de la Directiva: descripción general y explicaciones del funcionamiento en formatos universalmente accesibles, y cómo el proceso de prestación y su seguimiento garantizan la conformidad (letras a-c), además de la información exigida por la normativa de consumo. Dato: información sobre accesibilidad (valor más cercano). Título I en vigor el 28-6-2025 (DF 18.ª.2). Transitorio: DT única (productos ya usados hasta 28-6-2030; contratos previos hasta su expiración, máx. 5 años).</t>
  </si>
  <si>
    <t xml:space="preserve">ES-EAA-06</t>
  </si>
  <si>
    <t xml:space="preserve">art. 13.4</t>
  </si>
  <si>
    <t xml:space="preserve">Mientras el servicio esté en funcionamiento</t>
  </si>
  <si>
    <t xml:space="preserve">Los prestadores de servicios deberán conservar y mantener actualizada la información mientras el servicio esté en funcionamiento</t>
  </si>
  <si>
    <t xml:space="preserve">Ámbito: prestadores de servicios bancarios para consumidores (art. 2.2.d), salvo microempresas que presten servicios (art. 3.3). Añade respecto de la Directiva el deber de mantenerla actualizada. La información se pone a disposición del público en formato escrito y oral y accesible. Se refiere al servicio, no a solicitudes: No. Título I en vigor el 28-6-2025 (DF 18.ª.2). Transitorio: DT única (productos ya usados hasta 28-6-2030; contratos previos hasta su expiración, máx. 5 años).</t>
  </si>
  <si>
    <t xml:space="preserve">ES-EAA-07</t>
  </si>
  <si>
    <t xml:space="preserve">art. 13.5</t>
  </si>
  <si>
    <t xml:space="preserve">los prestadores de servicios se asegurarán de que existan procedimientos que garanticen que la prestación de servicios siga siendo conforme con los requisitos de accesibilidad aplicables</t>
  </si>
  <si>
    <t xml:space="preserve">Ámbito: prestadores de servicios bancarios para consumidores (art. 2.2.d), salvo microempresas que presten servicios (art. 3.3). Supervisión de la conformidad continua; 'tipo' más cercano Evaluar_riesgo. Sin perjuicio de la DT única. Título I en vigor el 28-6-2025 (DF 18.ª.2). Transitorio: DT única (productos ya usados hasta 28-6-2030; contratos previos hasta su expiración, máx. 5 años).</t>
  </si>
  <si>
    <t xml:space="preserve">ES-EAA-08</t>
  </si>
  <si>
    <t xml:space="preserve">art. 13.6</t>
  </si>
  <si>
    <t xml:space="preserve">los prestadores de servicios proporcionarán información que demuestre que el proceso de prestación del servicio y su seguimiento garantizan la conformidad del servicio</t>
  </si>
  <si>
    <t xml:space="preserve">Ámbito: prestadores de servicios bancarios para consumidores (art. 2.2.d), salvo microempresas que presten servicios (art. 3.3). Procede del anexo V.3 de la Directiva. Codificado como Registrar (documentación que acredite la conformidad); el texto no precisa destinatario (Varios). Dato: documentación de conformidad (Expediente_completo, valor más cercano). Título I en vigor el 28-6-2025 (DF 18.ª.2). Transitorio: DT única (productos ya usados hasta 28-6-2030; contratos previos hasta su expiración, máx. 5 años).</t>
  </si>
  <si>
    <t xml:space="preserve">ES-EAA-09</t>
  </si>
  <si>
    <t xml:space="preserve">art. 13.7</t>
  </si>
  <si>
    <t xml:space="preserve">Inmediatamente</t>
  </si>
  <si>
    <t xml:space="preserve">cuando el servicio no cumpla los requisitos de accesibilidad aplicables, los prestadores de servicios informarán inmediatamente de ello a las autoridades nacionales competentes</t>
  </si>
  <si>
    <t xml:space="preserve">Ámbito: prestadores de servicios bancarios para consumidores (art. 2.2.d), salvo microempresas que presten servicios (art. 3.3). Incluye adoptar medidas correctoras y detallar incumplimiento y medidas. Destinatario real: autoridades de vigilancia designadas por las CCAA y Ceuta y Melilla (art. 27.3), no el Banco de España (se usa Varios). Título I en vigor el 28-6-2025 (DF 18.ª.2). Transitorio: DT única (productos ya usados hasta 28-6-2030; contratos previos hasta su expiración, máx. 5 años).</t>
  </si>
  <si>
    <t xml:space="preserve">ES-EAA-10</t>
  </si>
  <si>
    <t xml:space="preserve">art. 13.8</t>
  </si>
  <si>
    <t xml:space="preserve">Previa solicitud motivada</t>
  </si>
  <si>
    <t xml:space="preserve">Sobre la base de una solicitud motivada de una autoridad competente, los prestadores de servicios le facilitarán toda la información necesaria para demostrar la conformidad del servicio</t>
  </si>
  <si>
    <t xml:space="preserve">Ámbito: prestadores de servicios bancarios para consumidores (art. 2.2.d), salvo microempresas que presten servicios (art. 3.3). Incluye deber de cooperación. Destinatario real: autoridades de vigilancia designadas por las CCAA y Ceuta y Melilla (art. 27.3), no el Banco de España (se usa Varios). Título I en vigor el 28-6-2025 (DF 18.ª.2). Transitorio: DT única (productos ya usados hasta 28-6-2030; contratos previos hasta su expiración, máx. 5 años).</t>
  </si>
  <si>
    <t xml:space="preserve">ES-EAA-11</t>
  </si>
  <si>
    <t xml:space="preserve">art. 14.2</t>
  </si>
  <si>
    <t xml:space="preserve">Aun en el supuesto de que un servicio, o parte de un servicio, se subcontrate a un tercero, la accesibilidad de dicho servicio no debe verse comprometida</t>
  </si>
  <si>
    <t xml:space="preserve">Ámbito: prestadores de servicios bancarios para consumidores (art. 2.2.d), salvo microempresas que presten servicios (art. 3.3). Sin equivalente en el articulado de la Directiva (añadido de la Ley española). Relevante para proveedores externos de verificación de identidad o firma en el alta. Art. 14.1: los productos con los que interactúa el consumidor también deben ser accesibles. Título I en vigor el 28-6-2025 (DF 18.ª.2). Transitorio: DT única (productos ya usados hasta 28-6-2030; contratos previos hasta su expiración, máx. 5 años).</t>
  </si>
  <si>
    <t xml:space="preserve">ES-EAA-12</t>
  </si>
  <si>
    <t xml:space="preserve">art. 16.1, letra b) segunda frase y párr. final</t>
  </si>
  <si>
    <t xml:space="preserve">Las excepciones al cumplimiento de los requisitos de accesibilidad deberán estar debidamente justificadas.</t>
  </si>
  <si>
    <t xml:space="preserve">Ámbito: prestadores de servicios bancarios para consumidores (art. 2.2.d), salvo microempresas que presten servicios (art. 3.3). Añadido español: la excepción es 'con carácter excepcional', debe justificarse y, en caso de carga desproporcionada, el servicio debe ser 'lo más accesible posible'. Motivación de la excepción (no de decisiones sobre solicitantes); destinatario no precisado (Varios). Título I en vigor el 28-6-2025 (DF 18.ª.2). Transitorio: DT única (productos ya usados hasta 28-6-2030; contratos previos hasta su expiración, máx. 5 años).</t>
  </si>
  <si>
    <t xml:space="preserve">ES-EAA-13</t>
  </si>
  <si>
    <t xml:space="preserve">art. 16.2 (y anexo V)</t>
  </si>
  <si>
    <t xml:space="preserve">Los agentes económicos llevarán a cabo una evaluación de si el cumplimiento de los requisitos de accesibilidad originaría una modificación sustancial o de si impondrían una carga desproporcionada</t>
  </si>
  <si>
    <t xml:space="preserve">Ámbito: prestadores de servicios bancarios para consumidores (art. 2.2.d), salvo microempresas que presten servicios (art. 3.3). Criterios en el anexo V de la Ley (equivale al anexo VI de la Directiva). Evaluacion_riesgo como valor más cercano. Art. 16.6: no cabe invocar carga desproporcionada con financiación para accesibilidad. Título I en vigor el 28-6-2025 (DF 18.ª.2). Transitorio: DT única (productos ya usados hasta 28-6-2030; contratos previos hasta su expiración, máx. 5 años).</t>
  </si>
  <si>
    <t xml:space="preserve">ES-EAA-14</t>
  </si>
  <si>
    <t xml:space="preserve">Los agentes económicos documentarán la evaluación (...) conservarán todos los resultados pertinentes durante un período de cinco años calculado (...) después de la última prestación de un servicio</t>
  </si>
  <si>
    <t xml:space="preserve">Ámbito: prestadores de servicios bancarios para consumidores (art. 2.2.d), salvo microempresas que presten servicios (art. 3.3). Plazo: 5 años desde la última prestación del servicio. Copia a las autoridades a instancia de estas. Destinatario real: autoridades de vigilancia designadas por las CCAA y Ceuta y Melilla (art. 27.3), no el Banco de España (se usa Varios). Título I en vigor el 28-6-2025 (DF 18.ª.2). Transitorio: DT única (productos ya usados hasta 28-6-2030; contratos previos hasta su expiración, máx. 5 años).</t>
  </si>
  <si>
    <t xml:space="preserve">ES-EAA-15</t>
  </si>
  <si>
    <t xml:space="preserve">art. 16.5</t>
  </si>
  <si>
    <t xml:space="preserve">Cada cinco años</t>
  </si>
  <si>
    <t xml:space="preserve">Los prestadores de servicios que invoquen el apartado 1.b) renovarán, respecto de cada categoría o tipo de servicio, su evaluación sobre si una carga es desproporcionada</t>
  </si>
  <si>
    <t xml:space="preserve">Ámbito: prestadores de servicios bancarios para consumidores (art. 2.2.d), salvo microempresas que presten servicios (art. 3.3). Renovación al modificarse el servicio, a petición de la autoridad y, en todo caso, cada cinco años. Título I en vigor el 28-6-2025 (DF 18.ª.2). Transitorio: DT única (productos ya usados hasta 28-6-2030; contratos previos hasta su expiración, máx. 5 años).</t>
  </si>
  <si>
    <t xml:space="preserve">ES-EAA-16</t>
  </si>
  <si>
    <t xml:space="preserve">Cuando los agentes económicos se acojan a lo dispuesto en el apartado 1 para un producto o servicio determinado remitirán información a tal fin a las correspondientes autoridades de vigilancia</t>
  </si>
  <si>
    <t xml:space="preserve">Ámbito: prestadores de servicios bancarios para consumidores (art. 2.2.d), salvo microempresas que presten servicios (art. 3.3). No aplicable a microempresas. Destinatario real: autoridades de vigilancia designadas por las CCAA y Ceuta y Melilla (art. 27.3), no el Banco de España (se usa Varios). Título I en vigor el 28-6-2025 (DF 18.ª.2). Transitorio: DT única (productos ya usados hasta 28-6-2030; contratos previos hasta su expiración, máx. 5 años).</t>
  </si>
  <si>
    <t xml:space="preserve">Resumen de la codificación</t>
  </si>
  <si>
    <t xml:space="preserve">Total de obligaciones</t>
  </si>
  <si>
    <t xml:space="preserve">Citas literales verificadas en el texto oficial</t>
  </si>
  <si>
    <t xml:space="preserve">Alcanzan a solicitudes no culminadas (Sí o Parcial)</t>
  </si>
  <si>
    <t xml:space="preserve">Clasificaciones de cobertura E/C/G con confianza alta (Auditoria_ECG0)</t>
  </si>
  <si>
    <t xml:space="preserve">Por familia normativa</t>
  </si>
  <si>
    <t xml:space="preserve">Valor</t>
  </si>
  <si>
    <t xml:space="preserve">Obligaciones</t>
  </si>
  <si>
    <t xml:space="preserve">% del total</t>
  </si>
  <si>
    <t xml:space="preserve">Cubre no culminado: Sí</t>
  </si>
  <si>
    <t xml:space="preserve">Total</t>
  </si>
  <si>
    <t xml:space="preserve">Por tipo de obligación</t>
  </si>
  <si>
    <t xml:space="preserve">Por finalidad</t>
  </si>
  <si>
    <t xml:space="preserve">Solapamiento: categoría de dato exigida por cada familia normativa</t>
  </si>
  <si>
    <t xml:space="preserve">Un dato exigido por dos o más familias con finalidades distintas es candidato a evidencia reutilizable.</t>
  </si>
  <si>
    <t xml:space="preserve">Dato</t>
  </si>
  <si>
    <t xml:space="preserve">Familias que lo exigen</t>
  </si>
  <si>
    <t xml:space="preserve">Finalidades distintas</t>
  </si>
  <si>
    <t xml:space="preserve">Datos exigidos por 2 o más familias</t>
  </si>
  <si>
    <t xml:space="preserve">Datos exigidos por 3 o más familias</t>
  </si>
  <si>
    <t xml:space="preserve">Mapa de visibilidad regulatoria: obligaciones que observan cada estado del alta</t>
  </si>
  <si>
    <t xml:space="preserve">Cada celda cuenta las obligaciones de esa familia que se refieren al estado. Es un mapa descriptivo/binario: no distingue si la norma exige evidencia, cubre el supuesto condicionalmente o solo gobierna el dato. Para esa distinción, véase Mapa_ECG0. 0 = no se codificó referencia a ese estado. Versión en códigos S/R: Mapa_ensayo (Figura A1 del ensayo).</t>
  </si>
  <si>
    <t xml:space="preserve">Total obligaciones</t>
  </si>
  <si>
    <t xml:space="preserve">Familias que lo observan</t>
  </si>
  <si>
    <t xml:space="preserve">Lectura</t>
  </si>
  <si>
    <t xml:space="preserve">Estados no observados por ninguna familia:</t>
  </si>
  <si>
    <t xml:space="preserve">Estados observados por una sola familia:</t>
  </si>
  <si>
    <t xml:space="preserve">Nota: el recuento excluye la fila TR (transversal). Una obligación puede referirse a varios estados, por lo que la suma por columnas supera el total de obligaciones.</t>
  </si>
  <si>
    <t xml:space="preserve">Variante: solo obligaciones ya vigentes (excluye las aplicables en fecha futura)</t>
  </si>
  <si>
    <t xml:space="preserve">Vigentes a 5 de octubre de 2026: "Vigente", directrices EBA (2023) y AI Act arts. 4 bis y 86 (2026). Quedan fuera AMLR (2027), anexo III del AI Act (dic. 2027), eIDAS 2 (2027) y Ley 10/2025 (dic. 2026).</t>
  </si>
  <si>
    <t xml:space="preserve">Mapa de visibilidad en la taxonomía del ensayo (estados S y motivos R)</t>
  </si>
  <si>
    <t xml:space="preserve">Correspondencia con la codificación (E0-E9): E0→S0; E1→R01, o R07 si la obligación es de abstención PBC/FT; E2→R02/R03; E3→R04; E4→R05 (y R07 si es abstención PBC/FT); E5→S3/R06; E6→R09; E7→R10; E8→S5 (y R07 si es abstención PBC/FT); E9→S6. R08 (decisión comercial) y R11 (causa administrativa) no se codificaron: ninguna obligación del corpus se refiere a ellos.</t>
  </si>
  <si>
    <t xml:space="preserve">A. Obligaciones aplicables a 5 de octubre de 2026 </t>
  </si>
  <si>
    <t xml:space="preserve">Estado o motivo</t>
  </si>
  <si>
    <t xml:space="preserve">Familias</t>
  </si>
  <si>
    <t xml:space="preserve">Abandono voluntario</t>
  </si>
  <si>
    <t xml:space="preserve">Fallo técnico de canal o de proveedor</t>
  </si>
  <si>
    <t xml:space="preserve">En revisión / revisión PBC/FT reforzada</t>
  </si>
  <si>
    <t xml:space="preserve">Imposibilidad PBC/FT de establecer la relación</t>
  </si>
  <si>
    <t xml:space="preserve">Expiración o revisión sin cierre</t>
  </si>
  <si>
    <t xml:space="preserve">B. Incluidas las obligaciones de aplicación futura: AMLR 2027, anexo III del Reglamento de IA, eIDAS 2, Ley 10/2025</t>
  </si>
  <si>
    <t xml:space="preserve">Prueba de fiabilidad intracodificadora (recodificación ciega del 20 %)</t>
  </si>
  <si>
    <t xml:space="preserve">Muestra aleatoria de 35 obligaciones (semilla 2026; 32 de la muestra inicial más 3 de accesibilidad). Rellena solo las celdas amarillas sin consultar la hoja "Codificacion". El acuerdo se calcula solo.</t>
  </si>
  <si>
    <t xml:space="preserve">Acuerdo por campo</t>
  </si>
  <si>
    <t xml:space="preserve">Global</t>
  </si>
  <si>
    <t xml:space="preserve">Filas recodificadas</t>
  </si>
  <si>
    <t xml:space="preserve">Umbral de referencia: 80 %. Para el estado, escribe los códigos en orden ascendente separados por "; " (ej.: E4; E8).</t>
  </si>
  <si>
    <t xml:space="preserve">tipo (tu código)</t>
  </si>
  <si>
    <t xml:space="preserve">estado (tu código)</t>
  </si>
  <si>
    <t xml:space="preserve">dato (tu código)</t>
  </si>
  <si>
    <t xml:space="preserve">finalidad (tu código)</t>
  </si>
  <si>
    <t xml:space="preserve">cubre_no_culminado (tu código)</t>
  </si>
  <si>
    <t xml:space="preserve">acuerdo tipo</t>
  </si>
  <si>
    <t xml:space="preserve">acuerdo estado</t>
  </si>
  <si>
    <t xml:space="preserve">acuerdo dato</t>
  </si>
  <si>
    <t xml:space="preserve">acuerdo finalidad</t>
  </si>
  <si>
    <t xml:space="preserve">acuerdo cubre_no_culminado</t>
  </si>
  <si>
    <t xml:space="preserve">Instrumento</t>
  </si>
  <si>
    <t xml:space="preserve">Familia</t>
  </si>
  <si>
    <t xml:space="preserve">Nivel</t>
  </si>
  <si>
    <t xml:space="preserve">Aplicación</t>
  </si>
  <si>
    <t xml:space="preserve">Obligaciones codificadas</t>
  </si>
  <si>
    <t xml:space="preserve">Enlace</t>
  </si>
  <si>
    <t xml:space="preserve">Reglamento (UE) 2026/1744 (Digital Omnibus sobre IA)</t>
  </si>
  <si>
    <t xml:space="preserve">Modifica el Reglamento (UE) 2024/1689; en vigor desde 2026-07-27</t>
  </si>
  <si>
    <t xml:space="preserve">https://eur-lex.europa.eu/eli/reg/2026/1744/oj</t>
  </si>
  <si>
    <t xml:space="preserve">Reglamento de Ejecución (UE) 2024/2981 (certificación EUDI Wallet)</t>
  </si>
  <si>
    <t xml:space="preserve">En vigor; referencia para cómputo del plazo de 36 meses</t>
  </si>
  <si>
    <t xml:space="preserve">https://eur-lex.europa.eu/eli/reg_impl/2024/2981/oj</t>
  </si>
  <si>
    <t xml:space="preserve">estado_original</t>
  </si>
  <si>
    <t xml:space="preserve">aplicabilidad_corte_2026-10-05</t>
  </si>
  <si>
    <t xml:space="preserve">trigger</t>
  </si>
  <si>
    <t xml:space="preserve">visibilidad_base</t>
  </si>
  <si>
    <t xml:space="preserve">confianza_auditoria</t>
  </si>
  <si>
    <t xml:space="preserve">naturaleza_plazo</t>
  </si>
  <si>
    <t xml:space="preserve">plazo_legal_codificado</t>
  </si>
  <si>
    <t xml:space="preserve">retencion_piloto</t>
  </si>
  <si>
    <t xml:space="preserve">limites_reutilizacion_confidencialidad</t>
  </si>
  <si>
    <t xml:space="preserve">nota_auditoria</t>
  </si>
  <si>
    <t xml:space="preserve">fuente_oficial</t>
  </si>
  <si>
    <t xml:space="preserve">Aplicable</t>
  </si>
  <si>
    <t xml:space="preserve">Solicitud, oferta o acceso a cuenta de pago básica</t>
  </si>
  <si>
    <t xml:space="preserve">No derivada de la norma; definir por finalidad, minimización, necesidad y DPIA/legitimate-interest assessment cuando proceda.</t>
  </si>
  <si>
    <t xml:space="preserve">La evidencia de acceso/denegación puede reutilizarse solo cuando exista base y finalidad compatibles; excepciones AML/seguridad limitan comunicación de motivos.</t>
  </si>
  <si>
    <t xml:space="preserve">Cobertura condicional o indirecta: el estado solo queda visible si se activa el supuesto normativo.</t>
  </si>
  <si>
    <t xml:space="preserve">Denegación/rechazo o decisión sobre acceso a cuenta de pago básica</t>
  </si>
  <si>
    <t xml:space="preserve">Actuación/comunicación</t>
  </si>
  <si>
    <t xml:space="preserve">Exigencia probatoria/documental directa respecto del evento codificado.</t>
  </si>
  <si>
    <t xml:space="preserve">Apertura/contratación de cuenta de pago básica</t>
  </si>
  <si>
    <t xml:space="preserve">Conservación</t>
  </si>
  <si>
    <t xml:space="preserve">Aplicable — art. 3 no incluido en la derogación expresa de Ley 10/2025</t>
  </si>
  <si>
    <t xml:space="preserve">Presentación o tramitación de queja/reclamación relacionada con el acceso o la denegación</t>
  </si>
  <si>
    <t xml:space="preserve">Expediente de reclamación separado del expediente de alta; la reclamación no debe convertirse automáticamente en dato de perfilado del solicitante.</t>
  </si>
  <si>
    <t xml:space="preserve">Aplicable — art. 17.1 no incluido en la derogación expresa de Ley 10/2025</t>
  </si>
  <si>
    <t xml:space="preserve">Información precontractual, contratación o explicación de servicio bancario</t>
  </si>
  <si>
    <t xml:space="preserve">En vigor desde 2025-12-28; periodo transitorio de adaptación hasta 2026-12-28</t>
  </si>
  <si>
    <t xml:space="preserve">Cobertura condicional o indirecta: el estado solo queda visible si se activa el supuesto normativo. La Ley 10/2025 está en vigor desde 28-12-2025, con plazo transitorio de adaptación de 12 meses.</t>
  </si>
  <si>
    <t xml:space="preserve">Futura — aplicable 2027-07-10</t>
  </si>
  <si>
    <t xml:space="preserve">Aplicación incompleta o problemática de CDD/KYC</t>
  </si>
  <si>
    <t xml:space="preserve">Reutilización limitada a finalidades compatibles con PBC/FT y otras bases jurídicas; respetar acceso restringido y conservación legal.</t>
  </si>
  <si>
    <t xml:space="preserve">Inicio, establecimiento o seguimiento de relación sujeto a CDD</t>
  </si>
  <si>
    <t xml:space="preserve">La norma gobierna datos/proceso asociado, pero no exige registrar el estado de onboarding como tal.</t>
  </si>
  <si>
    <t xml:space="preserve">Decisión de no establecer relación por razones de PBC/FT</t>
  </si>
  <si>
    <t xml:space="preserve">Sospecha o indicio de BC/FT durante intento o relación</t>
  </si>
  <si>
    <t xml:space="preserve">Acceso restringido. No reutilizar ni divulgar contenido de comunicaciones de sospecha fuera de la finalidad PBC/FT; observar deber de confidencialidad/no revelación.</t>
  </si>
  <si>
    <t xml:space="preserve">Obtención de documentación/evidencia CDD o finalización/rechazo de relación</t>
  </si>
  <si>
    <t xml:space="preserve">Diseño, uso o externalización del proceso de alta remota</t>
  </si>
  <si>
    <t xml:space="preserve">La evidencia puede apoyar control del onboarding, pero cualquier reutilización de datos personales requiere base y finalidad compatibles; no prueba duplicidad operativa.</t>
  </si>
  <si>
    <t xml:space="preserve">Escalado, control adicional o revisión humana en alta remota</t>
  </si>
  <si>
    <t xml:space="preserve">Uso de alta remota con fallo, error o riesgo TIC/seguridad</t>
  </si>
  <si>
    <t xml:space="preserve">Verificación remota/documental insuficiente o no fiable</t>
  </si>
  <si>
    <t xml:space="preserve">Evaluación previa o decisión de rechazo/cese por riesgo BC/FT</t>
  </si>
  <si>
    <t xml:space="preserve">Cliente vulnerable con documentación de identificación no estándar/incompleta</t>
  </si>
  <si>
    <t xml:space="preserve">Gestión del riesgo BC/FT con impacto potencial en acceso a servicios financieros</t>
  </si>
  <si>
    <t xml:space="preserve">Imposibilidad, discrepancia o insuficiencia en CDD/KYC</t>
  </si>
  <si>
    <t xml:space="preserve">Pretensión de establecer relación o ejecución de CDD</t>
  </si>
  <si>
    <t xml:space="preserve">Hecho u operación con indicio/sospecha de BC/FT</t>
  </si>
  <si>
    <t xml:space="preserve">Documentación CDD/identificación obtenida; conservación legal</t>
  </si>
  <si>
    <t xml:space="preserve">Tratamiento de datos personales generado por el proceso de alta</t>
  </si>
  <si>
    <t xml:space="preserve">Reutilización sujeta a finalidad, base jurídica, minimización, transparencia y compatibilidad; no crear un registro adicional sin necesidad.</t>
  </si>
  <si>
    <t xml:space="preserve">Recogida de datos personales del interesado al inicio del alta</t>
  </si>
  <si>
    <t xml:space="preserve">Decisión basada únicamente en tratamiento automatizado con efectos jurídicos o similares</t>
  </si>
  <si>
    <t xml:space="preserve">Tratamiento probablemente de alto riesgo; evaluación antes de iniciar el tratamiento</t>
  </si>
  <si>
    <t xml:space="preserve">Futura/condicional — obligaciones de alto riesgo Anexo III desde 2027-12-02</t>
  </si>
  <si>
    <t xml:space="preserve">Proveedor o despliegue de IA de alto riesgo del Anexo III 5(b), cuando el caso de uso quede comprendido</t>
  </si>
  <si>
    <t xml:space="preserve">Solo si el sistema y caso de uso entran en el ámbito aplicable; los logs no habilitan por sí solos una reutilización para analítica de inclusión.</t>
  </si>
  <si>
    <t xml:space="preserve">Cobertura condicional o indirecta: el estado solo queda visible si se activa el supuesto normativo. No todo KYC/onboarding es IA de alto riesgo; el supuesto financiero típico es creditworthiness/credit scoring, con exclusión de detección de fraude.</t>
  </si>
  <si>
    <t xml:space="preserve">Vigente desde 2026-08-02, pero alcance operativo condicionado a sistema de alto riesgo del Anexo III</t>
  </si>
  <si>
    <t xml:space="preserve">Decisión individual con efectos jurídicos o similares basada en salida de IA de alto riesgo del Anexo III</t>
  </si>
  <si>
    <t xml:space="preserve">Cobertura condicional o indirecta: el estado solo queda visible si se activa el supuesto normativo. No todo KYC/onboarding es IA de alto riesgo; el supuesto financiero típico es creditworthiness/credit scoring, con exclusión de detección de fraude. Artículo 86 vigente desde la fecha general, pero su uso práctico depende de que el sistema esté comprendido en el régimen de alto riesgo del Anexo III.</t>
  </si>
  <si>
    <t xml:space="preserve">En vigor desde 2026-07-27; aplicación material condicionada al supuesto de IA de alto riesgo y tratamiento para sesgos</t>
  </si>
  <si>
    <t xml:space="preserve">Tratamiento excepcional de categorías especiales para detectar/corregir sesgos en IA de alto riesgo</t>
  </si>
  <si>
    <t xml:space="preserve">Categorías especiales solo en la medida estrictamente necesaria para sesgos; limitaciones técnicas a la reutilización, seguridad/pseudonimización y supresión cuando deje de ser necesaria.</t>
  </si>
  <si>
    <t xml:space="preserve">La norma gobierna datos/proceso asociado, pero no exige registrar el estado de onboarding como tal. No todo KYC/onboarding es IA de alto riesgo; el supuesto financiero típico es creditworthiness/credit scoring, con exclusión de detección de fraude.</t>
  </si>
  <si>
    <t xml:space="preserve">Fallo que alcance la definición de incidente TIC; obligaciones reforzadas si es grave</t>
  </si>
  <si>
    <t xml:space="preserve">Evidencia orientada a gestión de riesgo/incidentes TIC y terceros; no equivale a autorización para perfilar solicitantes ni reutilizar con otra finalidad.</t>
  </si>
  <si>
    <t xml:space="preserve">Cobertura condicional o indirecta: el estado solo queda visible si se activa el supuesto normativo. Un error de interfaz no es automáticamente un incidente TIC ni un incidente grave.</t>
  </si>
  <si>
    <t xml:space="preserve">Uso de proveedor tercero TIC o acuerdo contractual TIC</t>
  </si>
  <si>
    <t xml:space="preserve">La norma gobierna datos/proceso asociado, pero no exige registrar el estado de onboarding como tal. Un error de interfaz no es automáticamente un incidente TIC ni un incidente grave.</t>
  </si>
  <si>
    <t xml:space="preserve">Futura — aceptación EUDI Wallet estimada desde 2027-12-24</t>
  </si>
  <si>
    <t xml:space="preserve">Identificación/autenticación en línea con solicitud voluntaria de uso de EUDI Wallet</t>
  </si>
  <si>
    <t xml:space="preserve">Limitado a datos declarados/solicitados para la interacción con la cartera y a las reglas eIDAS/RGPD; evitar solicitar datos adicionales.</t>
  </si>
  <si>
    <t xml:space="preserve">Vigente/condicional — registro si la entidad pretende actuar como parte usuaria de EUDI Wallet</t>
  </si>
  <si>
    <t xml:space="preserve">Intención de utilizar EUDI Wallet como parte usuaria privada</t>
  </si>
  <si>
    <t xml:space="preserve">Prestación a consumidores de servicios bancarios a través de canales digitales</t>
  </si>
  <si>
    <t xml:space="preserve">Documentación de conformidad del servicio; no contiene datos de solicitantes ni sirve como registro de intentos.</t>
  </si>
  <si>
    <t xml:space="preserve">La norma gobierna el diseño y la documentación del canal, pero no exige registrar el estado de onboarding como tal. Microempresas exentas (Ley 11/2023, art. 3.3).</t>
  </si>
  <si>
    <t xml:space="preserve">Incumplimiento de requisitos de accesibilidad o solicitud motivada de la autoridad de vigilancia del mercado</t>
  </si>
  <si>
    <t xml:space="preserve">Cobertura condicional o indirecta: solo se activa ante incumplimiento o requerimiento de la autoridad; no registra intentos de alta. Microempresas exentas (Ley 11/2023, art. 3.3).</t>
  </si>
  <si>
    <t xml:space="preserve">Mapa de visibilidad regulatoria E/C/G/0 del alta bancaria digital</t>
  </si>
  <si>
    <t xml:space="preserve">Código dominante por familia y estado. E prevalece sobre C; C sobre G; 0 indica que no se identificó obligación específica. Fecha de corte: 5 de octubre de 2026.</t>
  </si>
  <si>
    <t xml:space="preserve">Lectura metodológica</t>
  </si>
  <si>
    <t xml:space="preserve">exige evidencia/documentación verificable del evento o estado</t>
  </si>
  <si>
    <t xml:space="preserve">La matriz no presume duplicidad operativa. Que dos familias usen la misma categoría de dato puede indicar solapamiento semántico o probatorio, pero demostrar que la entidad procesa dos veces la misma evidencia requiere documentación interna, entrevistas o logs de proceso.</t>
  </si>
  <si>
    <t xml:space="preserve">cobertura condicional o indirecta</t>
  </si>
  <si>
    <t xml:space="preserve">gobierna datos/proceso sin exigir registrar el estado</t>
  </si>
  <si>
    <t xml:space="preserve">Variante conservadora: obligaciones operativas o en vigor al corte; excluye futuras y periodo transitorio de adaptación</t>
  </si>
  <si>
    <t xml:space="preserve">Nota: el criterio conservador mantiene como condicionales las obligaciones del AI Act que ya están en vigor formalmente pero cuyo alcance material depende de que el sistema y caso de uso entren en la categoría pertinente.</t>
  </si>
  <si>
    <t xml:space="preserve">Mapa E/C/G/0 en la taxonomía del ensayo (estados S y motivos R)</t>
  </si>
  <si>
    <t xml:space="preserve">Código dominante por familia y estado o motivo (E &gt; C &gt; G &gt; 0), a partir de Auditoria_ECG0 y de la correspondencia de códigos de la hoja Mapa_ensayo. Bloque A: variante conservadora (excluye obligaciones futuras y en periodo transitorio; Figura 5 del ensayo). Bloque B: incluye las futuras.</t>
  </si>
  <si>
    <t xml:space="preserve">A. Variante conservadora: obligaciones operativas al 5 de octubre de 2026 (Figura 5)</t>
  </si>
  <si>
    <t xml:space="preserve">B. Incluidas las obligaciones de aplicación futura o en periodo transitorio</t>
  </si>
  <si>
    <t xml:space="preserve">familias</t>
  </si>
  <si>
    <t xml:space="preserve">finalidades</t>
  </si>
  <si>
    <t xml:space="preserve">familias_n</t>
  </si>
  <si>
    <t xml:space="preserve">finalidades_n</t>
  </si>
  <si>
    <t xml:space="preserve">solapamiento_semantico</t>
  </si>
  <si>
    <t xml:space="preserve">solapamiento_probatorio</t>
  </si>
  <si>
    <t xml:space="preserve">duplicidad_operativa</t>
  </si>
  <si>
    <t xml:space="preserve">duplicidad_regulatoria</t>
  </si>
  <si>
    <t xml:space="preserve">fuentes_representativas</t>
  </si>
  <si>
    <t xml:space="preserve">AML; Directrices EBA</t>
  </si>
  <si>
    <t xml:space="preserve">Acceso_inclusion; Diligencia_debida_AML</t>
  </si>
  <si>
    <t xml:space="preserve">Sí — candidato a evidencia reutilizable, sujeto a finalidad/base jurídica</t>
  </si>
  <si>
    <t xml:space="preserve">No acreditada con fuentes públicas</t>
  </si>
  <si>
    <t xml:space="preserve">No acreditada; predominan relaciones de desarrollo/complementariedad entre marcos</t>
  </si>
  <si>
    <t xml:space="preserve">https://eur-lex.europa.eu/legal-content/ES/TXT/HTML/?uri=CELEX:32024R1624
https://www.eba.europa.eu/sites/default/files/document_library/Publications/Guidelines/2022/EBA-GL-2022-15%20GL%20on%20remote%20customer%20onboarding/Translations/1054115/GL%20remote%20customer%20onboarding%20solutions%20%28EBA%20GL%202022%2015%29_ES_REV.pdf
https://www.eba.europa.eu/sites/default/files/document_library/Publications/Guidelines/2023/EBA-GL-2023-04/Translations/1061461/GLs%20on%20MLTF%20risk%20management%20%28EBA%20GL%202023%2004%29_ES_COR.pdf</t>
  </si>
  <si>
    <t xml:space="preserve">AI Act; AML; Accesibilidad; Directrices EBA; RGPD</t>
  </si>
  <si>
    <t xml:space="preserve">Acceso_inclusion; Diligencia_debida_AML; Proteccion_datos; Trazabilidad_IA</t>
  </si>
  <si>
    <t xml:space="preserve">AI Act; AML; Accesibilidad; Atención al cliente ES; Cuenta básica; Directrices EBA; RGPD</t>
  </si>
  <si>
    <t xml:space="preserve">Acceso_inclusion; Diligencia_debida_AML; Proteccion_datos; Reclamaciones; Transparencia_consumidor</t>
  </si>
  <si>
    <t xml:space="preserve">No acreditada; requisitos, triggers y finalidades no son funcionalmente equivalentes en bloque</t>
  </si>
  <si>
    <t xml:space="preserve">https://eur-lex.europa.eu/legal-content/ES/TXT/HTML/?uri=CELEX:32014L0092
https://www.boe.es/buscar/act.php?id=BOE-A-2017-13644
https://www.boe.es/buscar/act.php?id=BOE-A-2019-4906</t>
  </si>
  <si>
    <t xml:space="preserve">AML; Accesibilidad; Cuenta básica; Directrices EBA; RGPD; eIDAS 2</t>
  </si>
  <si>
    <t xml:space="preserve">Acceso_inclusion; Diligencia_debida_AML; Proteccion_datos</t>
  </si>
  <si>
    <t xml:space="preserve">https://eur-lex.europa.eu/legal-content/ES/TXT/HTML/?uri=CELEX:32014L0092
https://eur-lex.europa.eu/legal-content/ES/TXT/HTML/?uri=CELEX:32024R1624
https://www.eba.europa.eu/sites/default/files/document_library/Publications/Guidelines/2022/EBA-GL-2022-15%20GL%20on%20remote%20customer%20onboarding/Translations/1054115/GL%20remote%20customer%20onboarding%20solutions%20%28EBA%20GL%202022%2015%29_ES_REV.pdf</t>
  </si>
  <si>
    <t xml:space="preserve">DORA; Directrices EBA</t>
  </si>
  <si>
    <t xml:space="preserve">Diligencia_debida_AML; Resiliencia_operativa</t>
  </si>
  <si>
    <t xml:space="preserve">No acreditada; EBA y DORA son complementarios y DORA usa umbrales/objetos propios</t>
  </si>
  <si>
    <t xml:space="preserve">https://www.eba.europa.eu/sites/default/files/document_library/Publications/Guidelines/2022/EBA-GL-2022-15%20GL%20on%20remote%20customer%20onboarding/Translations/1054115/GL%20remote%20customer%20onboarding%20solutions%20%28EBA%20GL%202022%2015%29_ES_REV.pdf
https://eur-lex.europa.eu/legal-content/ES/TXT/HTML/?uri=CELEX:32022R2554</t>
  </si>
  <si>
    <t xml:space="preserve">AI Act; AML; Accesibilidad; Atención al cliente ES; Cuenta básica; Directrices EBA; RGPD; eIDAS 2</t>
  </si>
  <si>
    <t xml:space="preserve">Acceso_inclusion; Prevencion_fraude; Proteccion_datos; Reclamaciones; Transparencia_consumidor</t>
  </si>
  <si>
    <t xml:space="preserve">https://eur-lex.europa.eu/legal-content/ES/TXT/HTML/?uri=CELEX:32014L0092
https://www.boe.es/buscar/act.php?id=BOE-A-2017-13644
https://www.boe.es/buscar/act.php?id=BOE-A-2019-3113</t>
  </si>
  <si>
    <t xml:space="preserve">AI Act; AML; Atención al cliente ES; Directrices EBA; RGPD</t>
  </si>
  <si>
    <t xml:space="preserve">Acceso_inclusion; Diligencia_debida_AML; Prevencion_fraude; Proteccion_datos; Trazabilidad_IA</t>
  </si>
  <si>
    <t xml:space="preserve">https://www.boe.es/buscar/act.php?id=BOE-A-2025-26698
https://eur-lex.europa.eu/legal-content/ES/TXT/HTML/?uri=CELEX:32024R1624
https://www.eba.europa.eu/sites/default/files/document_library/Publications/Guidelines/2022/EBA-GL-2022-15%20GL%20on%20remote%20customer%20onboarding/Translations/1054115/GL%20remote%20customer%20onboarding%20solutions%20%28EBA%20GL%202022%2015%29_ES_REV.pdf</t>
  </si>
  <si>
    <t xml:space="preserve">AI Act; Directrices EBA</t>
  </si>
  <si>
    <t xml:space="preserve">Diligencia_debida_AML; Prevencion_fraude; Trazabilidad_IA</t>
  </si>
  <si>
    <t xml:space="preserve">No acreditada; EBA y AI Act tienen ámbitos y triggers distintos</t>
  </si>
  <si>
    <t xml:space="preserve">https://www.eba.europa.eu/sites/default/files/document_library/Publications/Guidelines/2022/EBA-GL-2022-15%20GL%20on%20remote%20customer%20onboarding/Translations/1054115/GL%20remote%20customer%20onboarding%20solutions%20%28EBA%20GL%202022%2015%29_ES_REV.pdf
https://eur-lex.europa.eu/legal-content/ES/TXT/HTML/?uri=CELEX:32024R1689</t>
  </si>
  <si>
    <t xml:space="preserve">AI Act; AML; Atención al cliente ES; Cuenta básica; Directrices EBA; RGPD</t>
  </si>
  <si>
    <t xml:space="preserve">Accesibilidad; DORA; Directrices EBA</t>
  </si>
  <si>
    <t xml:space="preserve">Acceso_inclusion; Diligencia_debida_AML; Proteccion_datos; Resiliencia_operativa</t>
  </si>
  <si>
    <t xml:space="preserve">AML; Cuenta básica; Directrices EBA</t>
  </si>
  <si>
    <t xml:space="preserve">Acceso_inclusion; Diligencia_debida_AML; Prevencion_fraude</t>
  </si>
  <si>
    <t xml:space="preserve">https://eur-lex.europa.eu/legal-content/ES/TXT/HTML/?uri=CELEX:32014L0092
https://www.boe.es/buscar/act.php?id=BOE-A-2017-13644
https://eur-lex.europa.eu/legal-content/ES/TXT/HTML/?uri=CELEX:32024R1624</t>
  </si>
</sst>
</file>

<file path=xl/styles.xml><?xml version="1.0" encoding="utf-8"?>
<styleSheet xmlns="http://schemas.openxmlformats.org/spreadsheetml/2006/main">
  <numFmts count="3">
    <numFmt numFmtId="164" formatCode="General"/>
    <numFmt numFmtId="165" formatCode="General"/>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95959"/>
      <name val="Arial"/>
      <family val="0"/>
      <charset val="1"/>
    </font>
    <font>
      <sz val="10"/>
      <name val="Arial"/>
      <family val="0"/>
      <charset val="1"/>
    </font>
    <font>
      <b val="true"/>
      <sz val="10"/>
      <name val="Arial"/>
      <family val="0"/>
      <charset val="1"/>
    </font>
    <font>
      <sz val="11"/>
      <color rgb="FF1F1F1F"/>
      <name val="Calibri"/>
      <family val="0"/>
      <charset val="1"/>
    </font>
    <font>
      <b val="true"/>
      <sz val="10"/>
      <color rgb="FF000000"/>
      <name val="Arial"/>
      <family val="0"/>
      <charset val="1"/>
    </font>
    <font>
      <b val="true"/>
      <sz val="11"/>
      <color rgb="FF000000"/>
      <name val="Calibri"/>
      <family val="0"/>
      <charset val="1"/>
    </font>
    <font>
      <sz val="11"/>
      <color theme="1"/>
      <name val="Calibri"/>
      <family val="0"/>
      <charset val="1"/>
    </font>
    <font>
      <i val="true"/>
      <sz val="9"/>
      <color rgb="FF595959"/>
      <name val="Arial"/>
      <family val="0"/>
      <charset val="1"/>
    </font>
    <font>
      <sz val="10"/>
      <name val="Arial"/>
      <family val="2"/>
    </font>
    <font>
      <sz val="10"/>
      <color rgb="FF000000"/>
      <name val="Arial"/>
      <family val="0"/>
      <charset val="1"/>
    </font>
  </fonts>
  <fills count="5">
    <fill>
      <patternFill patternType="none"/>
    </fill>
    <fill>
      <patternFill patternType="gray125"/>
    </fill>
    <fill>
      <patternFill patternType="solid">
        <fgColor rgb="FFD9D9D9"/>
        <bgColor rgb="FFD0D0D0"/>
      </patternFill>
    </fill>
    <fill>
      <patternFill patternType="solid">
        <fgColor rgb="FFF2F2F2"/>
        <bgColor rgb="FFEFEFEF"/>
      </patternFill>
    </fill>
    <fill>
      <patternFill patternType="solid">
        <fgColor rgb="FFEDEDED"/>
        <bgColor rgb="FFEFEFE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9" fillId="2"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center" vertical="top"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D9D9D9"/>
          <bgColor rgb="FF000000"/>
        </patternFill>
      </fill>
    </dxf>
    <dxf>
      <fill>
        <patternFill patternType="solid">
          <bgColor rgb="FF000000"/>
        </patternFill>
      </fill>
    </dxf>
    <dxf>
      <fill>
        <patternFill patternType="solid">
          <fgColor rgb="FF000000"/>
          <bgColor rgb="FF000000"/>
        </patternFill>
      </fill>
    </dxf>
    <dxf>
      <fill>
        <patternFill>
          <bgColor rgb="FFFFFFFF"/>
        </patternFill>
      </fill>
    </dxf>
    <dxf>
      <fill>
        <patternFill>
          <bgColor rgb="FFA6A6A6"/>
        </patternFill>
      </fill>
    </dxf>
    <dxf>
      <fill>
        <patternFill>
          <bgColor rgb="FFD0D0D0"/>
        </patternFill>
      </fill>
    </dxf>
    <dxf>
      <fill>
        <patternFill>
          <bgColor rgb="FFEFEFE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FEFE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DEDED"/>
      <rgbColor rgb="FFD9D9D9"/>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23.25" hidden="false" customHeight="true" outlineLevel="0" collapsed="false">
      <c r="A5" s="4" t="s">
        <v>3</v>
      </c>
    </row>
    <row r="6" customFormat="false" ht="23.25" hidden="false" customHeight="true" outlineLevel="0" collapsed="false">
      <c r="A6" s="4" t="s">
        <v>4</v>
      </c>
    </row>
    <row r="7" customFormat="false" ht="15" hidden="false" customHeight="true" outlineLevel="0" collapsed="false">
      <c r="A7" s="4"/>
    </row>
    <row r="8" customFormat="false" ht="15" hidden="false" customHeight="true" outlineLevel="0" collapsed="false">
      <c r="A8" s="5" t="s">
        <v>5</v>
      </c>
    </row>
    <row r="9" customFormat="false" ht="15" hidden="false" customHeight="true" outlineLevel="0" collapsed="false">
      <c r="A9" s="4" t="s">
        <v>6</v>
      </c>
    </row>
    <row r="10" customFormat="false" ht="15" hidden="false" customHeight="true" outlineLevel="0" collapsed="false">
      <c r="A10" s="4" t="s">
        <v>7</v>
      </c>
    </row>
    <row r="11" customFormat="false" ht="15" hidden="false" customHeight="true" outlineLevel="0" collapsed="false">
      <c r="A11" s="4" t="s">
        <v>8</v>
      </c>
    </row>
    <row r="12" customFormat="false" ht="15" hidden="false" customHeight="true" outlineLevel="0" collapsed="false">
      <c r="A12" s="4" t="s">
        <v>9</v>
      </c>
    </row>
    <row r="13" customFormat="false" ht="15" hidden="false" customHeight="true" outlineLevel="0" collapsed="false">
      <c r="A13" s="4" t="s">
        <v>10</v>
      </c>
    </row>
    <row r="14" customFormat="false" ht="15" hidden="false" customHeight="true" outlineLevel="0" collapsed="false">
      <c r="A14" s="4" t="s">
        <v>11</v>
      </c>
    </row>
    <row r="15" customFormat="false" ht="15" hidden="false" customHeight="true" outlineLevel="0" collapsed="false">
      <c r="A15" s="4"/>
    </row>
    <row r="16" customFormat="false" ht="15" hidden="false" customHeight="true" outlineLevel="0" collapsed="false">
      <c r="A16" s="5" t="s">
        <v>12</v>
      </c>
    </row>
    <row r="17" customFormat="false" ht="15" hidden="false" customHeight="true" outlineLevel="0" collapsed="false">
      <c r="A17" s="4" t="s">
        <v>13</v>
      </c>
    </row>
    <row r="18" customFormat="false" ht="23.25" hidden="false" customHeight="true" outlineLevel="0" collapsed="false">
      <c r="A18" s="4" t="s">
        <v>14</v>
      </c>
    </row>
    <row r="19" customFormat="false" ht="15" hidden="false" customHeight="true" outlineLevel="0" collapsed="false">
      <c r="A19" s="4" t="s">
        <v>15</v>
      </c>
    </row>
    <row r="20" customFormat="false" ht="23.25" hidden="false" customHeight="true" outlineLevel="0" collapsed="false">
      <c r="A20" s="4" t="s">
        <v>16</v>
      </c>
    </row>
    <row r="21" customFormat="false" ht="15" hidden="false" customHeight="true" outlineLevel="0" collapsed="false">
      <c r="A21" s="4"/>
    </row>
    <row r="22" customFormat="false" ht="15" hidden="false" customHeight="true" outlineLevel="0" collapsed="false">
      <c r="A22" s="5" t="s">
        <v>17</v>
      </c>
    </row>
    <row r="23" customFormat="false" ht="15" hidden="false" customHeight="true" outlineLevel="0" collapsed="false">
      <c r="A23" s="4" t="s">
        <v>18</v>
      </c>
    </row>
    <row r="24" customFormat="false" ht="23.25" hidden="false" customHeight="true" outlineLevel="0" collapsed="false">
      <c r="A24" s="4" t="s">
        <v>19</v>
      </c>
    </row>
    <row r="25" customFormat="false" ht="15" hidden="false" customHeight="true" outlineLevel="0" collapsed="false">
      <c r="A25" s="4"/>
    </row>
    <row r="26" customFormat="false" ht="15" hidden="false" customHeight="true" outlineLevel="0" collapsed="false">
      <c r="A26" s="5" t="s">
        <v>20</v>
      </c>
    </row>
    <row r="27" customFormat="false" ht="23.25" hidden="false" customHeight="true" outlineLevel="0" collapsed="false">
      <c r="A27" s="4" t="s">
        <v>21</v>
      </c>
    </row>
    <row r="28" customFormat="false" ht="23.25" hidden="false" customHeight="true" outlineLevel="0" collapsed="false">
      <c r="A28" s="4" t="s">
        <v>22</v>
      </c>
    </row>
    <row r="29" customFormat="false" ht="15" hidden="false" customHeight="true" outlineLevel="0" collapsed="false">
      <c r="A29" s="4" t="s">
        <v>23</v>
      </c>
    </row>
    <row r="30" customFormat="false" ht="23.25" hidden="false" customHeight="true" outlineLevel="0" collapsed="false">
      <c r="A30" s="4" t="s">
        <v>24</v>
      </c>
    </row>
    <row r="31" customFormat="false" ht="27.75" hidden="false" customHeight="true" outlineLevel="0" collapsed="false">
      <c r="A31" s="6" t="s">
        <v>25</v>
      </c>
    </row>
    <row r="32" customFormat="false" ht="27.75" hidden="false" customHeight="true" outlineLevel="0" collapsed="false">
      <c r="A32" s="6" t="s">
        <v>26</v>
      </c>
    </row>
    <row r="33" customFormat="false" ht="27.75" hidden="false" customHeight="true" outlineLevel="0" collapsed="false">
      <c r="A33" s="6" t="s">
        <v>27</v>
      </c>
    </row>
    <row r="34" customFormat="false" ht="23.25" hidden="false" customHeight="true" outlineLevel="0" collapsed="false">
      <c r="A34" s="4" t="s">
        <v>28</v>
      </c>
    </row>
    <row r="35" customFormat="false" ht="23.25" hidden="false" customHeight="true" outlineLevel="0" collapsed="false">
      <c r="A35" s="4"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60"/>
    <col collapsed="false" customWidth="true" hidden="false" outlineLevel="0" max="3" min="3" style="1" width="80"/>
    <col collapsed="false" customWidth="true" hidden="true" outlineLevel="0" max="13" min="6" style="1" width="13"/>
  </cols>
  <sheetData>
    <row r="1" customFormat="false" ht="15" hidden="false" customHeight="true" outlineLevel="0" collapsed="false">
      <c r="A1" s="7" t="s">
        <v>30</v>
      </c>
      <c r="B1" s="7" t="s">
        <v>31</v>
      </c>
      <c r="C1" s="7" t="s">
        <v>32</v>
      </c>
      <c r="F1" s="8" t="s">
        <v>33</v>
      </c>
      <c r="G1" s="8" t="s">
        <v>34</v>
      </c>
      <c r="H1" s="8" t="s">
        <v>35</v>
      </c>
      <c r="I1" s="8" t="s">
        <v>36</v>
      </c>
      <c r="J1" s="8" t="s">
        <v>37</v>
      </c>
      <c r="K1" s="8" t="s">
        <v>38</v>
      </c>
      <c r="L1" s="8" t="s">
        <v>39</v>
      </c>
      <c r="M1" s="8" t="s">
        <v>40</v>
      </c>
    </row>
    <row r="2" customFormat="false" ht="23.25" hidden="false" customHeight="true" outlineLevel="0" collapsed="false">
      <c r="A2" s="9" t="s">
        <v>41</v>
      </c>
      <c r="B2" s="9" t="s">
        <v>42</v>
      </c>
      <c r="C2" s="9" t="s">
        <v>43</v>
      </c>
      <c r="F2" s="10" t="s">
        <v>44</v>
      </c>
      <c r="G2" s="10" t="s">
        <v>45</v>
      </c>
      <c r="H2" s="10" t="s">
        <v>46</v>
      </c>
      <c r="I2" s="10" t="s">
        <v>47</v>
      </c>
      <c r="J2" s="10" t="s">
        <v>48</v>
      </c>
      <c r="K2" s="10" t="s">
        <v>49</v>
      </c>
      <c r="L2" s="10" t="s">
        <v>50</v>
      </c>
      <c r="M2" s="10" t="s">
        <v>51</v>
      </c>
    </row>
    <row r="3" customFormat="false" ht="23.25" hidden="false" customHeight="true" outlineLevel="0" collapsed="false">
      <c r="A3" s="9" t="s">
        <v>52</v>
      </c>
      <c r="B3" s="9" t="s">
        <v>53</v>
      </c>
      <c r="C3" s="9" t="s">
        <v>54</v>
      </c>
      <c r="F3" s="10" t="s">
        <v>55</v>
      </c>
      <c r="G3" s="10" t="s">
        <v>56</v>
      </c>
      <c r="H3" s="10" t="s">
        <v>57</v>
      </c>
      <c r="I3" s="10" t="s">
        <v>58</v>
      </c>
      <c r="J3" s="10" t="s">
        <v>59</v>
      </c>
      <c r="K3" s="10" t="s">
        <v>60</v>
      </c>
      <c r="L3" s="10" t="s">
        <v>61</v>
      </c>
      <c r="M3" s="10" t="s">
        <v>62</v>
      </c>
    </row>
    <row r="4" customFormat="false" ht="15" hidden="false" customHeight="true" outlineLevel="0" collapsed="false">
      <c r="A4" s="9" t="s">
        <v>63</v>
      </c>
      <c r="B4" s="9" t="s">
        <v>64</v>
      </c>
      <c r="C4" s="9" t="s">
        <v>65</v>
      </c>
      <c r="F4" s="10" t="s">
        <v>66</v>
      </c>
      <c r="G4" s="10" t="s">
        <v>67</v>
      </c>
      <c r="H4" s="10" t="s">
        <v>68</v>
      </c>
      <c r="I4" s="10" t="s">
        <v>69</v>
      </c>
      <c r="J4" s="10" t="s">
        <v>70</v>
      </c>
      <c r="K4" s="10" t="s">
        <v>71</v>
      </c>
      <c r="L4" s="10" t="s">
        <v>72</v>
      </c>
    </row>
    <row r="5" customFormat="false" ht="15" hidden="false" customHeight="true" outlineLevel="0" collapsed="false">
      <c r="A5" s="9" t="s">
        <v>73</v>
      </c>
      <c r="B5" s="9" t="s">
        <v>74</v>
      </c>
      <c r="C5" s="9" t="s">
        <v>65</v>
      </c>
      <c r="F5" s="10" t="s">
        <v>75</v>
      </c>
      <c r="G5" s="10" t="s">
        <v>76</v>
      </c>
      <c r="H5" s="10" t="s">
        <v>77</v>
      </c>
      <c r="I5" s="10" t="s">
        <v>78</v>
      </c>
      <c r="J5" s="10" t="s">
        <v>79</v>
      </c>
      <c r="K5" s="10" t="s">
        <v>80</v>
      </c>
    </row>
    <row r="6" customFormat="false" ht="15" hidden="false" customHeight="true" outlineLevel="0" collapsed="false">
      <c r="A6" s="9" t="s">
        <v>33</v>
      </c>
      <c r="B6" s="9" t="s">
        <v>81</v>
      </c>
      <c r="C6" s="9" t="s">
        <v>82</v>
      </c>
      <c r="F6" s="10" t="s">
        <v>83</v>
      </c>
      <c r="G6" s="10" t="s">
        <v>84</v>
      </c>
      <c r="H6" s="10" t="s">
        <v>85</v>
      </c>
      <c r="I6" s="10" t="s">
        <v>86</v>
      </c>
      <c r="J6" s="10" t="s">
        <v>87</v>
      </c>
      <c r="K6" s="10" t="s">
        <v>88</v>
      </c>
    </row>
    <row r="7" customFormat="false" ht="23.25" hidden="false" customHeight="true" outlineLevel="0" collapsed="false">
      <c r="A7" s="9" t="s">
        <v>89</v>
      </c>
      <c r="B7" s="9" t="s">
        <v>90</v>
      </c>
      <c r="C7" s="9" t="s">
        <v>91</v>
      </c>
      <c r="G7" s="10" t="s">
        <v>92</v>
      </c>
      <c r="H7" s="10" t="s">
        <v>93</v>
      </c>
      <c r="I7" s="10" t="s">
        <v>94</v>
      </c>
      <c r="J7" s="10" t="s">
        <v>95</v>
      </c>
    </row>
    <row r="8" customFormat="false" ht="23.25" hidden="false" customHeight="true" outlineLevel="0" collapsed="false">
      <c r="A8" s="9" t="s">
        <v>34</v>
      </c>
      <c r="B8" s="9" t="s">
        <v>96</v>
      </c>
      <c r="C8" s="9" t="s">
        <v>97</v>
      </c>
      <c r="G8" s="10" t="s">
        <v>98</v>
      </c>
      <c r="H8" s="10" t="s">
        <v>99</v>
      </c>
      <c r="I8" s="10" t="s">
        <v>100</v>
      </c>
      <c r="J8" s="10" t="s">
        <v>101</v>
      </c>
    </row>
    <row r="9" customFormat="false" ht="23.25" hidden="false" customHeight="true" outlineLevel="0" collapsed="false">
      <c r="A9" s="9" t="s">
        <v>102</v>
      </c>
      <c r="B9" s="9" t="s">
        <v>103</v>
      </c>
      <c r="C9" s="9" t="s">
        <v>104</v>
      </c>
      <c r="G9" s="10" t="s">
        <v>105</v>
      </c>
      <c r="H9" s="10" t="s">
        <v>106</v>
      </c>
      <c r="I9" s="10" t="s">
        <v>107</v>
      </c>
    </row>
    <row r="10" customFormat="false" ht="34.5" hidden="false" customHeight="true" outlineLevel="0" collapsed="false">
      <c r="A10" s="9" t="s">
        <v>35</v>
      </c>
      <c r="B10" s="9" t="s">
        <v>108</v>
      </c>
      <c r="C10" s="9" t="s">
        <v>109</v>
      </c>
      <c r="G10" s="10" t="s">
        <v>110</v>
      </c>
      <c r="H10" s="10" t="s">
        <v>111</v>
      </c>
    </row>
    <row r="11" customFormat="false" ht="23.25" hidden="false" customHeight="true" outlineLevel="0" collapsed="false">
      <c r="A11" s="9" t="s">
        <v>36</v>
      </c>
      <c r="B11" s="9" t="s">
        <v>112</v>
      </c>
      <c r="C11" s="9" t="s">
        <v>113</v>
      </c>
      <c r="H11" s="10" t="s">
        <v>114</v>
      </c>
    </row>
    <row r="12" customFormat="false" ht="15" hidden="false" customHeight="true" outlineLevel="0" collapsed="false">
      <c r="A12" s="9" t="s">
        <v>115</v>
      </c>
      <c r="B12" s="9" t="s">
        <v>116</v>
      </c>
      <c r="C12" s="9" t="s">
        <v>117</v>
      </c>
      <c r="H12" s="10" t="s">
        <v>118</v>
      </c>
    </row>
    <row r="13" customFormat="false" ht="23.25" hidden="false" customHeight="true" outlineLevel="0" collapsed="false">
      <c r="A13" s="9" t="s">
        <v>37</v>
      </c>
      <c r="B13" s="9" t="s">
        <v>119</v>
      </c>
      <c r="C13" s="9" t="s">
        <v>120</v>
      </c>
    </row>
    <row r="14" customFormat="false" ht="23.25" hidden="false" customHeight="true" outlineLevel="0" collapsed="false">
      <c r="A14" s="9" t="s">
        <v>38</v>
      </c>
      <c r="B14" s="9" t="s">
        <v>121</v>
      </c>
      <c r="C14" s="9" t="s">
        <v>122</v>
      </c>
    </row>
    <row r="15" customFormat="false" ht="15" hidden="false" customHeight="true" outlineLevel="0" collapsed="false">
      <c r="A15" s="9" t="s">
        <v>39</v>
      </c>
      <c r="B15" s="9" t="s">
        <v>123</v>
      </c>
      <c r="C15" s="9" t="s">
        <v>124</v>
      </c>
    </row>
    <row r="16" customFormat="false" ht="15" hidden="false" customHeight="true" outlineLevel="0" collapsed="false">
      <c r="A16" s="9" t="s">
        <v>125</v>
      </c>
      <c r="B16" s="9" t="s">
        <v>126</v>
      </c>
      <c r="C16" s="9" t="s">
        <v>127</v>
      </c>
    </row>
    <row r="17" customFormat="false" ht="15" hidden="false" customHeight="true" outlineLevel="0" collapsed="false">
      <c r="A17" s="9" t="s">
        <v>128</v>
      </c>
      <c r="B17" s="9" t="s">
        <v>129</v>
      </c>
      <c r="C17" s="9" t="s">
        <v>130</v>
      </c>
    </row>
    <row r="18" customFormat="false" ht="15" hidden="false" customHeight="true" outlineLevel="0" collapsed="false">
      <c r="A18" s="9" t="s">
        <v>40</v>
      </c>
      <c r="B18" s="9" t="s">
        <v>131</v>
      </c>
      <c r="C18" s="9" t="s">
        <v>132</v>
      </c>
    </row>
    <row r="19" customFormat="false" ht="15" hidden="false" customHeight="true" outlineLevel="0" collapsed="false">
      <c r="A19" s="9" t="s">
        <v>133</v>
      </c>
      <c r="B19" s="9" t="s">
        <v>134</v>
      </c>
      <c r="C19" s="9" t="s">
        <v>65</v>
      </c>
    </row>
    <row r="21" customFormat="false" ht="15" hidden="false" customHeight="true" outlineLevel="0" collapsed="false">
      <c r="A21" s="8" t="s">
        <v>135</v>
      </c>
    </row>
    <row r="22" customFormat="false" ht="15" hidden="false" customHeight="true" outlineLevel="0" collapsed="false">
      <c r="A22" s="7" t="s">
        <v>136</v>
      </c>
      <c r="B22" s="7" t="s">
        <v>137</v>
      </c>
      <c r="C22" s="7" t="s">
        <v>138</v>
      </c>
    </row>
    <row r="23" customFormat="false" ht="15" hidden="false" customHeight="true" outlineLevel="0" collapsed="false">
      <c r="A23" s="11" t="s">
        <v>139</v>
      </c>
      <c r="B23" s="11" t="s">
        <v>140</v>
      </c>
      <c r="C23" s="11" t="s">
        <v>141</v>
      </c>
    </row>
    <row r="24" customFormat="false" ht="15" hidden="false" customHeight="true" outlineLevel="0" collapsed="false">
      <c r="A24" s="11" t="s">
        <v>142</v>
      </c>
      <c r="B24" s="11" t="s">
        <v>143</v>
      </c>
      <c r="C24" s="11" t="s">
        <v>72</v>
      </c>
    </row>
    <row r="25" customFormat="false" ht="15" hidden="false" customHeight="true" outlineLevel="0" collapsed="false">
      <c r="A25" s="11" t="s">
        <v>144</v>
      </c>
      <c r="B25" s="11" t="s">
        <v>145</v>
      </c>
      <c r="C25" s="11" t="s">
        <v>72</v>
      </c>
    </row>
    <row r="26" customFormat="false" ht="15" hidden="false" customHeight="true" outlineLevel="0" collapsed="false">
      <c r="A26" s="11" t="s">
        <v>146</v>
      </c>
      <c r="B26" s="11" t="s">
        <v>147</v>
      </c>
      <c r="C26" s="11" t="s">
        <v>72</v>
      </c>
    </row>
    <row r="27" customFormat="false" ht="15" hidden="false" customHeight="true" outlineLevel="0" collapsed="false">
      <c r="A27" s="11" t="s">
        <v>148</v>
      </c>
      <c r="B27" s="11" t="s">
        <v>149</v>
      </c>
      <c r="C27" s="11" t="s">
        <v>72</v>
      </c>
    </row>
    <row r="28" customFormat="false" ht="15" hidden="false" customHeight="true" outlineLevel="0" collapsed="false">
      <c r="A28" s="11" t="s">
        <v>150</v>
      </c>
      <c r="B28" s="11" t="s">
        <v>151</v>
      </c>
      <c r="C28" s="11" t="s">
        <v>141</v>
      </c>
    </row>
    <row r="29" customFormat="false" ht="15" hidden="false" customHeight="true" outlineLevel="0" collapsed="false">
      <c r="A29" s="11" t="s">
        <v>152</v>
      </c>
      <c r="B29" s="11" t="s">
        <v>153</v>
      </c>
      <c r="C29" s="11" t="s">
        <v>72</v>
      </c>
    </row>
    <row r="30" customFormat="false" ht="15" hidden="false" customHeight="true" outlineLevel="0" collapsed="false">
      <c r="A30" s="11" t="s">
        <v>154</v>
      </c>
      <c r="B30" s="11" t="s">
        <v>155</v>
      </c>
      <c r="C30" s="11" t="s">
        <v>72</v>
      </c>
    </row>
    <row r="31" customFormat="false" ht="15" hidden="false" customHeight="true" outlineLevel="0" collapsed="false">
      <c r="A31" s="11" t="s">
        <v>156</v>
      </c>
      <c r="B31" s="11" t="s">
        <v>157</v>
      </c>
      <c r="C31" s="11" t="s">
        <v>72</v>
      </c>
    </row>
    <row r="32" customFormat="false" ht="15" hidden="false" customHeight="true" outlineLevel="0" collapsed="false">
      <c r="A32" s="11" t="s">
        <v>158</v>
      </c>
      <c r="B32" s="11" t="s">
        <v>159</v>
      </c>
      <c r="C32" s="11" t="s">
        <v>160</v>
      </c>
    </row>
    <row r="33" customFormat="false" ht="15" hidden="false" customHeight="true" outlineLevel="0" collapsed="false">
      <c r="A33" s="11" t="s">
        <v>161</v>
      </c>
      <c r="B33" s="11" t="s">
        <v>162</v>
      </c>
      <c r="C33" s="11" t="s">
        <v>163</v>
      </c>
    </row>
    <row r="35" customFormat="false" ht="15" hidden="false" customHeight="true" outlineLevel="0" collapsed="false">
      <c r="A35" s="12" t="s">
        <v>164</v>
      </c>
      <c r="B35" s="12"/>
      <c r="C35" s="12"/>
    </row>
    <row r="36" customFormat="false" ht="15" hidden="false" customHeight="true" outlineLevel="0" collapsed="false">
      <c r="A36" s="13" t="s">
        <v>136</v>
      </c>
      <c r="B36" s="13" t="s">
        <v>31</v>
      </c>
      <c r="C36" s="13" t="s">
        <v>165</v>
      </c>
    </row>
    <row r="37" customFormat="false" ht="27.75" hidden="false" customHeight="true" outlineLevel="0" collapsed="false">
      <c r="A37" s="14" t="s">
        <v>166</v>
      </c>
      <c r="B37" s="14" t="s">
        <v>167</v>
      </c>
      <c r="C37" s="14" t="s">
        <v>168</v>
      </c>
    </row>
    <row r="38" customFormat="false" ht="27.75" hidden="false" customHeight="true" outlineLevel="0" collapsed="false">
      <c r="A38" s="14" t="s">
        <v>169</v>
      </c>
      <c r="B38" s="14" t="s">
        <v>170</v>
      </c>
      <c r="C38" s="14" t="s">
        <v>171</v>
      </c>
    </row>
    <row r="39" customFormat="false" ht="27.75" hidden="false" customHeight="true" outlineLevel="0" collapsed="false">
      <c r="A39" s="14" t="s">
        <v>172</v>
      </c>
      <c r="B39" s="14" t="s">
        <v>173</v>
      </c>
      <c r="C39" s="14" t="s">
        <v>174</v>
      </c>
    </row>
    <row r="40" customFormat="false" ht="15" hidden="false" customHeight="true" outlineLevel="0" collapsed="false">
      <c r="A40" s="14" t="s">
        <v>175</v>
      </c>
      <c r="B40" s="14" t="s">
        <v>176</v>
      </c>
      <c r="C40" s="14" t="s">
        <v>177</v>
      </c>
    </row>
    <row r="41" customFormat="false" ht="27.75" hidden="false" customHeight="true" outlineLevel="0" collapsed="false">
      <c r="A41" s="14" t="s">
        <v>178</v>
      </c>
      <c r="B41" s="14" t="s">
        <v>179</v>
      </c>
      <c r="C41" s="14"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6"/>
    <col collapsed="false" customWidth="true" hidden="false" outlineLevel="0" max="3" min="3" style="1" width="30"/>
    <col collapsed="false" customWidth="true" hidden="false" outlineLevel="0" max="4" min="4" style="1" width="13"/>
    <col collapsed="false" customWidth="true" hidden="false" outlineLevel="0" max="5" min="5" style="1" width="14"/>
    <col collapsed="false" customWidth="true" hidden="false" outlineLevel="0" max="6" min="6" style="1" width="20"/>
    <col collapsed="false" customWidth="true" hidden="false" outlineLevel="0" max="7" min="7" style="1" width="18"/>
    <col collapsed="false" customWidth="true" hidden="false" outlineLevel="0" max="8" min="8" style="1" width="14"/>
    <col collapsed="false" customWidth="true" hidden="false" outlineLevel="0" max="10" min="9" style="1" width="20"/>
    <col collapsed="false" customWidth="true" hidden="false" outlineLevel="0" max="11" min="11" style="1" width="16"/>
    <col collapsed="false" customWidth="true" hidden="false" outlineLevel="0" max="12" min="12" style="1" width="18"/>
    <col collapsed="false" customWidth="true" hidden="false" outlineLevel="0" max="13" min="13" style="1" width="22"/>
    <col collapsed="false" customWidth="true" hidden="false" outlineLevel="0" max="14" min="14" style="1" width="12"/>
    <col collapsed="false" customWidth="true" hidden="false" outlineLevel="0" max="15" min="15" style="1" width="60"/>
    <col collapsed="false" customWidth="true" hidden="false" outlineLevel="0" max="16" min="16" style="1" width="30"/>
    <col collapsed="false" customWidth="true" hidden="false" outlineLevel="0" max="17" min="17" style="1" width="10"/>
    <col collapsed="false" customWidth="true" hidden="false" outlineLevel="0" max="18" min="18" style="1" width="45"/>
    <col collapsed="false" customWidth="true" hidden="false" outlineLevel="0" max="29" min="19" style="1" width="5"/>
    <col collapsed="false" customWidth="true" hidden="false" outlineLevel="0" max="30" min="30" style="1" width="18"/>
    <col collapsed="false" customWidth="true" hidden="false" outlineLevel="0" max="42" min="31" style="1" width="6"/>
  </cols>
  <sheetData>
    <row r="1" customFormat="false" ht="45.75" hidden="false" customHeight="true" outlineLevel="0" collapsed="false">
      <c r="A1" s="7" t="s">
        <v>41</v>
      </c>
      <c r="B1" s="7" t="s">
        <v>52</v>
      </c>
      <c r="C1" s="7" t="s">
        <v>63</v>
      </c>
      <c r="D1" s="7" t="s">
        <v>73</v>
      </c>
      <c r="E1" s="7" t="s">
        <v>33</v>
      </c>
      <c r="F1" s="7" t="s">
        <v>89</v>
      </c>
      <c r="G1" s="7" t="s">
        <v>34</v>
      </c>
      <c r="H1" s="7" t="s">
        <v>102</v>
      </c>
      <c r="I1" s="7" t="s">
        <v>35</v>
      </c>
      <c r="J1" s="7" t="s">
        <v>36</v>
      </c>
      <c r="K1" s="7" t="s">
        <v>115</v>
      </c>
      <c r="L1" s="7" t="s">
        <v>37</v>
      </c>
      <c r="M1" s="7" t="s">
        <v>38</v>
      </c>
      <c r="N1" s="7" t="s">
        <v>39</v>
      </c>
      <c r="O1" s="7" t="s">
        <v>125</v>
      </c>
      <c r="P1" s="7" t="s">
        <v>128</v>
      </c>
      <c r="Q1" s="7" t="s">
        <v>40</v>
      </c>
      <c r="R1" s="7" t="s">
        <v>133</v>
      </c>
      <c r="S1" s="7" t="s">
        <v>139</v>
      </c>
      <c r="T1" s="7" t="s">
        <v>142</v>
      </c>
      <c r="U1" s="7" t="s">
        <v>144</v>
      </c>
      <c r="V1" s="7" t="s">
        <v>146</v>
      </c>
      <c r="W1" s="7" t="s">
        <v>148</v>
      </c>
      <c r="X1" s="7" t="s">
        <v>150</v>
      </c>
      <c r="Y1" s="7" t="s">
        <v>152</v>
      </c>
      <c r="Z1" s="7" t="s">
        <v>154</v>
      </c>
      <c r="AA1" s="7" t="s">
        <v>156</v>
      </c>
      <c r="AB1" s="7" t="s">
        <v>158</v>
      </c>
      <c r="AC1" s="7" t="s">
        <v>161</v>
      </c>
      <c r="AD1" s="15" t="s">
        <v>181</v>
      </c>
      <c r="AE1" s="15" t="s">
        <v>182</v>
      </c>
      <c r="AF1" s="15" t="s">
        <v>183</v>
      </c>
      <c r="AG1" s="15" t="s">
        <v>184</v>
      </c>
      <c r="AH1" s="15" t="s">
        <v>185</v>
      </c>
      <c r="AI1" s="15" t="s">
        <v>186</v>
      </c>
      <c r="AJ1" s="15" t="s">
        <v>187</v>
      </c>
      <c r="AK1" s="15" t="s">
        <v>188</v>
      </c>
      <c r="AL1" s="15" t="s">
        <v>189</v>
      </c>
      <c r="AM1" s="15" t="s">
        <v>190</v>
      </c>
      <c r="AN1" s="15" t="s">
        <v>191</v>
      </c>
      <c r="AO1" s="15" t="s">
        <v>192</v>
      </c>
      <c r="AP1" s="15" t="s">
        <v>161</v>
      </c>
    </row>
    <row r="2" customFormat="false" ht="90.75" hidden="false" customHeight="true" outlineLevel="0" collapsed="false">
      <c r="A2" s="4" t="s">
        <v>193</v>
      </c>
      <c r="B2" s="4" t="s">
        <v>194</v>
      </c>
      <c r="C2" s="4" t="s">
        <v>195</v>
      </c>
      <c r="D2" s="4" t="s">
        <v>196</v>
      </c>
      <c r="E2" s="4" t="s">
        <v>55</v>
      </c>
      <c r="F2" s="4" t="s">
        <v>197</v>
      </c>
      <c r="G2" s="4" t="s">
        <v>110</v>
      </c>
      <c r="H2" s="4" t="s">
        <v>161</v>
      </c>
      <c r="I2" s="4" t="s">
        <v>46</v>
      </c>
      <c r="J2" s="4" t="s">
        <v>78</v>
      </c>
      <c r="K2" s="4" t="s">
        <v>198</v>
      </c>
      <c r="L2" s="4" t="s">
        <v>48</v>
      </c>
      <c r="M2" s="4" t="s">
        <v>60</v>
      </c>
      <c r="N2" s="4" t="s">
        <v>50</v>
      </c>
      <c r="O2" s="4" t="s">
        <v>199</v>
      </c>
      <c r="P2" s="4" t="s">
        <v>200</v>
      </c>
      <c r="Q2" s="4" t="s">
        <v>51</v>
      </c>
      <c r="R2" s="4" t="s">
        <v>201</v>
      </c>
      <c r="S2" s="16" t="n">
        <f aca="false">IF(ISNUMBER(SEARCH("E0",$H2)),1,0)</f>
        <v>0</v>
      </c>
      <c r="T2" s="16" t="n">
        <f aca="false">IF(ISNUMBER(SEARCH("E1",$H2)),1,0)</f>
        <v>0</v>
      </c>
      <c r="U2" s="16" t="n">
        <f aca="false">IF(ISNUMBER(SEARCH("E2",$H2)),1,0)</f>
        <v>0</v>
      </c>
      <c r="V2" s="16" t="n">
        <f aca="false">IF(ISNUMBER(SEARCH("E3",$H2)),1,0)</f>
        <v>0</v>
      </c>
      <c r="W2" s="16" t="n">
        <f aca="false">IF(ISNUMBER(SEARCH("E4",$H2)),1,0)</f>
        <v>0</v>
      </c>
      <c r="X2" s="16" t="n">
        <f aca="false">IF(ISNUMBER(SEARCH("E5",$H2)),1,0)</f>
        <v>0</v>
      </c>
      <c r="Y2" s="16" t="n">
        <f aca="false">IF(ISNUMBER(SEARCH("E6",$H2)),1,0)</f>
        <v>0</v>
      </c>
      <c r="Z2" s="16" t="n">
        <f aca="false">IF(ISNUMBER(SEARCH("E7",$H2)),1,0)</f>
        <v>0</v>
      </c>
      <c r="AA2" s="16" t="n">
        <f aca="false">IF(ISNUMBER(SEARCH("E8",$H2)),1,0)</f>
        <v>0</v>
      </c>
      <c r="AB2" s="16" t="n">
        <f aca="false">IF(ISNUMBER(SEARCH("E9",$H2)),1,0)</f>
        <v>0</v>
      </c>
      <c r="AC2" s="16" t="n">
        <f aca="false">IF(ISNUMBER(SEARCH("TR",$H2)),1,0)</f>
        <v>1</v>
      </c>
      <c r="AD2" s="10" t="s">
        <v>161</v>
      </c>
      <c r="AE2" s="17" t="n">
        <f aca="false">IF(ISNUMBER(SEARCH("S0",$AD2)),1,0)</f>
        <v>0</v>
      </c>
      <c r="AF2" s="17" t="n">
        <f aca="false">IF(ISNUMBER(SEARCH("R01",$AD2)),1,0)</f>
        <v>0</v>
      </c>
      <c r="AG2" s="17" t="n">
        <f aca="false">IF(ISNUMBER(SEARCH("R02R03",$AD2)),1,0)</f>
        <v>0</v>
      </c>
      <c r="AH2" s="17" t="n">
        <f aca="false">IF(ISNUMBER(SEARCH("R04",$AD2)),1,0)</f>
        <v>0</v>
      </c>
      <c r="AI2" s="17" t="n">
        <f aca="false">IF(ISNUMBER(SEARCH("R05",$AD2)),1,0)</f>
        <v>0</v>
      </c>
      <c r="AJ2" s="17" t="n">
        <f aca="false">IF(ISNUMBER(SEARCH("S3R06",$AD2)),1,0)</f>
        <v>0</v>
      </c>
      <c r="AK2" s="17" t="n">
        <f aca="false">IF(ISNUMBER(SEARCH("R07",$AD2)),1,0)</f>
        <v>0</v>
      </c>
      <c r="AL2" s="17" t="n">
        <f aca="false">IF(ISNUMBER(SEARCH("R09",$AD2)),1,0)</f>
        <v>0</v>
      </c>
      <c r="AM2" s="17" t="n">
        <f aca="false">IF(ISNUMBER(SEARCH("R10",$AD2)),1,0)</f>
        <v>0</v>
      </c>
      <c r="AN2" s="17" t="n">
        <f aca="false">IF(ISNUMBER(SEARCH("S5",$AD2)),1,0)</f>
        <v>0</v>
      </c>
      <c r="AO2" s="17" t="n">
        <f aca="false">IF(ISNUMBER(SEARCH("S6",$AD2)),1,0)</f>
        <v>0</v>
      </c>
      <c r="AP2" s="17" t="n">
        <f aca="false">IF(ISNUMBER(SEARCH("TR",$AD2)),1,0)</f>
        <v>1</v>
      </c>
    </row>
    <row r="3" customFormat="false" ht="124.5" hidden="false" customHeight="true" outlineLevel="0" collapsed="false">
      <c r="A3" s="4" t="s">
        <v>202</v>
      </c>
      <c r="B3" s="4" t="s">
        <v>194</v>
      </c>
      <c r="C3" s="4" t="s">
        <v>195</v>
      </c>
      <c r="D3" s="4" t="s">
        <v>203</v>
      </c>
      <c r="E3" s="4" t="s">
        <v>55</v>
      </c>
      <c r="F3" s="4" t="s">
        <v>197</v>
      </c>
      <c r="G3" s="4" t="s">
        <v>76</v>
      </c>
      <c r="H3" s="4" t="s">
        <v>204</v>
      </c>
      <c r="I3" s="4" t="s">
        <v>77</v>
      </c>
      <c r="J3" s="4" t="s">
        <v>78</v>
      </c>
      <c r="K3" s="4" t="s">
        <v>205</v>
      </c>
      <c r="L3" s="4" t="s">
        <v>48</v>
      </c>
      <c r="M3" s="4" t="s">
        <v>60</v>
      </c>
      <c r="N3" s="4" t="s">
        <v>50</v>
      </c>
      <c r="O3" s="4" t="s">
        <v>206</v>
      </c>
      <c r="P3" s="4" t="s">
        <v>200</v>
      </c>
      <c r="Q3" s="4" t="s">
        <v>51</v>
      </c>
      <c r="R3" s="4" t="s">
        <v>207</v>
      </c>
      <c r="S3" s="16" t="n">
        <f aca="false">IF(ISNUMBER(SEARCH("E0",$H3)),1,0)</f>
        <v>0</v>
      </c>
      <c r="T3" s="16" t="n">
        <f aca="false">IF(ISNUMBER(SEARCH("E1",$H3)),1,0)</f>
        <v>0</v>
      </c>
      <c r="U3" s="16" t="n">
        <f aca="false">IF(ISNUMBER(SEARCH("E2",$H3)),1,0)</f>
        <v>0</v>
      </c>
      <c r="V3" s="16" t="n">
        <f aca="false">IF(ISNUMBER(SEARCH("E3",$H3)),1,0)</f>
        <v>0</v>
      </c>
      <c r="W3" s="16" t="n">
        <f aca="false">IF(ISNUMBER(SEARCH("E4",$H3)),1,0)</f>
        <v>0</v>
      </c>
      <c r="X3" s="16" t="n">
        <f aca="false">IF(ISNUMBER(SEARCH("E5",$H3)),1,0)</f>
        <v>0</v>
      </c>
      <c r="Y3" s="16" t="n">
        <f aca="false">IF(ISNUMBER(SEARCH("E6",$H3)),1,0)</f>
        <v>0</v>
      </c>
      <c r="Z3" s="16" t="n">
        <f aca="false">IF(ISNUMBER(SEARCH("E7",$H3)),1,0)</f>
        <v>0</v>
      </c>
      <c r="AA3" s="16" t="n">
        <f aca="false">IF(ISNUMBER(SEARCH("E8",$H3)),1,0)</f>
        <v>1</v>
      </c>
      <c r="AB3" s="16" t="n">
        <f aca="false">IF(ISNUMBER(SEARCH("E9",$H3)),1,0)</f>
        <v>1</v>
      </c>
      <c r="AC3" s="16" t="n">
        <f aca="false">IF(ISNUMBER(SEARCH("TR",$H3)),1,0)</f>
        <v>0</v>
      </c>
      <c r="AD3" s="10" t="s">
        <v>208</v>
      </c>
      <c r="AE3" s="17" t="n">
        <f aca="false">IF(ISNUMBER(SEARCH("S0",$AD3)),1,0)</f>
        <v>0</v>
      </c>
      <c r="AF3" s="17" t="n">
        <f aca="false">IF(ISNUMBER(SEARCH("R01",$AD3)),1,0)</f>
        <v>0</v>
      </c>
      <c r="AG3" s="17" t="n">
        <f aca="false">IF(ISNUMBER(SEARCH("R02R03",$AD3)),1,0)</f>
        <v>0</v>
      </c>
      <c r="AH3" s="17" t="n">
        <f aca="false">IF(ISNUMBER(SEARCH("R04",$AD3)),1,0)</f>
        <v>0</v>
      </c>
      <c r="AI3" s="17" t="n">
        <f aca="false">IF(ISNUMBER(SEARCH("R05",$AD3)),1,0)</f>
        <v>0</v>
      </c>
      <c r="AJ3" s="17" t="n">
        <f aca="false">IF(ISNUMBER(SEARCH("S3R06",$AD3)),1,0)</f>
        <v>0</v>
      </c>
      <c r="AK3" s="17" t="n">
        <f aca="false">IF(ISNUMBER(SEARCH("R07",$AD3)),1,0)</f>
        <v>0</v>
      </c>
      <c r="AL3" s="17" t="n">
        <f aca="false">IF(ISNUMBER(SEARCH("R09",$AD3)),1,0)</f>
        <v>0</v>
      </c>
      <c r="AM3" s="17" t="n">
        <f aca="false">IF(ISNUMBER(SEARCH("R10",$AD3)),1,0)</f>
        <v>0</v>
      </c>
      <c r="AN3" s="17" t="n">
        <f aca="false">IF(ISNUMBER(SEARCH("S5",$AD3)),1,0)</f>
        <v>1</v>
      </c>
      <c r="AO3" s="17" t="n">
        <f aca="false">IF(ISNUMBER(SEARCH("S6",$AD3)),1,0)</f>
        <v>1</v>
      </c>
      <c r="AP3" s="17" t="n">
        <f aca="false">IF(ISNUMBER(SEARCH("TR",$AD3)),1,0)</f>
        <v>0</v>
      </c>
    </row>
    <row r="4" customFormat="false" ht="57" hidden="false" customHeight="true" outlineLevel="0" collapsed="false">
      <c r="A4" s="4" t="s">
        <v>209</v>
      </c>
      <c r="B4" s="4" t="s">
        <v>194</v>
      </c>
      <c r="C4" s="4" t="s">
        <v>195</v>
      </c>
      <c r="D4" s="4" t="s">
        <v>210</v>
      </c>
      <c r="E4" s="4" t="s">
        <v>55</v>
      </c>
      <c r="F4" s="4" t="s">
        <v>197</v>
      </c>
      <c r="G4" s="4" t="s">
        <v>110</v>
      </c>
      <c r="H4" s="4" t="s">
        <v>211</v>
      </c>
      <c r="I4" s="4" t="s">
        <v>68</v>
      </c>
      <c r="J4" s="4" t="s">
        <v>47</v>
      </c>
      <c r="K4" s="4" t="s">
        <v>198</v>
      </c>
      <c r="L4" s="4" t="s">
        <v>48</v>
      </c>
      <c r="M4" s="4" t="s">
        <v>60</v>
      </c>
      <c r="N4" s="4" t="s">
        <v>50</v>
      </c>
      <c r="O4" s="4" t="s">
        <v>212</v>
      </c>
      <c r="P4" s="4" t="s">
        <v>200</v>
      </c>
      <c r="Q4" s="4" t="s">
        <v>51</v>
      </c>
      <c r="R4" s="4" t="s">
        <v>213</v>
      </c>
      <c r="S4" s="16" t="n">
        <f aca="false">IF(ISNUMBER(SEARCH("E0",$H4)),1,0)</f>
        <v>0</v>
      </c>
      <c r="T4" s="16" t="n">
        <f aca="false">IF(ISNUMBER(SEARCH("E1",$H4)),1,0)</f>
        <v>0</v>
      </c>
      <c r="U4" s="16" t="n">
        <f aca="false">IF(ISNUMBER(SEARCH("E2",$H4)),1,0)</f>
        <v>0</v>
      </c>
      <c r="V4" s="16" t="n">
        <f aca="false">IF(ISNUMBER(SEARCH("E3",$H4)),1,0)</f>
        <v>0</v>
      </c>
      <c r="W4" s="16" t="n">
        <f aca="false">IF(ISNUMBER(SEARCH("E4",$H4)),1,0)</f>
        <v>1</v>
      </c>
      <c r="X4" s="16" t="n">
        <f aca="false">IF(ISNUMBER(SEARCH("E5",$H4)),1,0)</f>
        <v>0</v>
      </c>
      <c r="Y4" s="16" t="n">
        <f aca="false">IF(ISNUMBER(SEARCH("E6",$H4)),1,0)</f>
        <v>0</v>
      </c>
      <c r="Z4" s="16" t="n">
        <f aca="false">IF(ISNUMBER(SEARCH("E7",$H4)),1,0)</f>
        <v>0</v>
      </c>
      <c r="AA4" s="16" t="n">
        <f aca="false">IF(ISNUMBER(SEARCH("E8",$H4)),1,0)</f>
        <v>1</v>
      </c>
      <c r="AB4" s="16" t="n">
        <f aca="false">IF(ISNUMBER(SEARCH("E9",$H4)),1,0)</f>
        <v>0</v>
      </c>
      <c r="AC4" s="16" t="n">
        <f aca="false">IF(ISNUMBER(SEARCH("TR",$H4)),1,0)</f>
        <v>0</v>
      </c>
      <c r="AD4" s="10" t="s">
        <v>214</v>
      </c>
      <c r="AE4" s="17" t="n">
        <f aca="false">IF(ISNUMBER(SEARCH("S0",$AD4)),1,0)</f>
        <v>0</v>
      </c>
      <c r="AF4" s="17" t="n">
        <f aca="false">IF(ISNUMBER(SEARCH("R01",$AD4)),1,0)</f>
        <v>0</v>
      </c>
      <c r="AG4" s="17" t="n">
        <f aca="false">IF(ISNUMBER(SEARCH("R02R03",$AD4)),1,0)</f>
        <v>0</v>
      </c>
      <c r="AH4" s="17" t="n">
        <f aca="false">IF(ISNUMBER(SEARCH("R04",$AD4)),1,0)</f>
        <v>0</v>
      </c>
      <c r="AI4" s="17" t="n">
        <f aca="false">IF(ISNUMBER(SEARCH("R05",$AD4)),1,0)</f>
        <v>1</v>
      </c>
      <c r="AJ4" s="17" t="n">
        <f aca="false">IF(ISNUMBER(SEARCH("S3R06",$AD4)),1,0)</f>
        <v>0</v>
      </c>
      <c r="AK4" s="17" t="n">
        <f aca="false">IF(ISNUMBER(SEARCH("R07",$AD4)),1,0)</f>
        <v>1</v>
      </c>
      <c r="AL4" s="17" t="n">
        <f aca="false">IF(ISNUMBER(SEARCH("R09",$AD4)),1,0)</f>
        <v>0</v>
      </c>
      <c r="AM4" s="17" t="n">
        <f aca="false">IF(ISNUMBER(SEARCH("R10",$AD4)),1,0)</f>
        <v>0</v>
      </c>
      <c r="AN4" s="17" t="n">
        <f aca="false">IF(ISNUMBER(SEARCH("S5",$AD4)),1,0)</f>
        <v>1</v>
      </c>
      <c r="AO4" s="17" t="n">
        <f aca="false">IF(ISNUMBER(SEARCH("S6",$AD4)),1,0)</f>
        <v>0</v>
      </c>
      <c r="AP4" s="17" t="n">
        <f aca="false">IF(ISNUMBER(SEARCH("TR",$AD4)),1,0)</f>
        <v>0</v>
      </c>
    </row>
    <row r="5" customFormat="false" ht="79.5" hidden="false" customHeight="true" outlineLevel="0" collapsed="false">
      <c r="A5" s="4" t="s">
        <v>215</v>
      </c>
      <c r="B5" s="4" t="s">
        <v>194</v>
      </c>
      <c r="C5" s="4" t="s">
        <v>195</v>
      </c>
      <c r="D5" s="4" t="s">
        <v>216</v>
      </c>
      <c r="E5" s="4" t="s">
        <v>55</v>
      </c>
      <c r="F5" s="4" t="s">
        <v>197</v>
      </c>
      <c r="G5" s="4" t="s">
        <v>76</v>
      </c>
      <c r="H5" s="4" t="s">
        <v>156</v>
      </c>
      <c r="I5" s="4" t="s">
        <v>77</v>
      </c>
      <c r="J5" s="4" t="s">
        <v>78</v>
      </c>
      <c r="K5" s="4" t="s">
        <v>217</v>
      </c>
      <c r="L5" s="4" t="s">
        <v>48</v>
      </c>
      <c r="M5" s="4" t="s">
        <v>60</v>
      </c>
      <c r="N5" s="4" t="s">
        <v>50</v>
      </c>
      <c r="O5" s="4" t="s">
        <v>218</v>
      </c>
      <c r="P5" s="4" t="s">
        <v>200</v>
      </c>
      <c r="Q5" s="4" t="s">
        <v>51</v>
      </c>
      <c r="R5" s="4" t="s">
        <v>219</v>
      </c>
      <c r="S5" s="16" t="n">
        <f aca="false">IF(ISNUMBER(SEARCH("E0",$H5)),1,0)</f>
        <v>0</v>
      </c>
      <c r="T5" s="16" t="n">
        <f aca="false">IF(ISNUMBER(SEARCH("E1",$H5)),1,0)</f>
        <v>0</v>
      </c>
      <c r="U5" s="16" t="n">
        <f aca="false">IF(ISNUMBER(SEARCH("E2",$H5)),1,0)</f>
        <v>0</v>
      </c>
      <c r="V5" s="16" t="n">
        <f aca="false">IF(ISNUMBER(SEARCH("E3",$H5)),1,0)</f>
        <v>0</v>
      </c>
      <c r="W5" s="16" t="n">
        <f aca="false">IF(ISNUMBER(SEARCH("E4",$H5)),1,0)</f>
        <v>0</v>
      </c>
      <c r="X5" s="16" t="n">
        <f aca="false">IF(ISNUMBER(SEARCH("E5",$H5)),1,0)</f>
        <v>0</v>
      </c>
      <c r="Y5" s="16" t="n">
        <f aca="false">IF(ISNUMBER(SEARCH("E6",$H5)),1,0)</f>
        <v>0</v>
      </c>
      <c r="Z5" s="16" t="n">
        <f aca="false">IF(ISNUMBER(SEARCH("E7",$H5)),1,0)</f>
        <v>0</v>
      </c>
      <c r="AA5" s="16" t="n">
        <f aca="false">IF(ISNUMBER(SEARCH("E8",$H5)),1,0)</f>
        <v>1</v>
      </c>
      <c r="AB5" s="16" t="n">
        <f aca="false">IF(ISNUMBER(SEARCH("E9",$H5)),1,0)</f>
        <v>0</v>
      </c>
      <c r="AC5" s="16" t="n">
        <f aca="false">IF(ISNUMBER(SEARCH("TR",$H5)),1,0)</f>
        <v>0</v>
      </c>
      <c r="AD5" s="10" t="s">
        <v>191</v>
      </c>
      <c r="AE5" s="17" t="n">
        <f aca="false">IF(ISNUMBER(SEARCH("S0",$AD5)),1,0)</f>
        <v>0</v>
      </c>
      <c r="AF5" s="17" t="n">
        <f aca="false">IF(ISNUMBER(SEARCH("R01",$AD5)),1,0)</f>
        <v>0</v>
      </c>
      <c r="AG5" s="17" t="n">
        <f aca="false">IF(ISNUMBER(SEARCH("R02R03",$AD5)),1,0)</f>
        <v>0</v>
      </c>
      <c r="AH5" s="17" t="n">
        <f aca="false">IF(ISNUMBER(SEARCH("R04",$AD5)),1,0)</f>
        <v>0</v>
      </c>
      <c r="AI5" s="17" t="n">
        <f aca="false">IF(ISNUMBER(SEARCH("R05",$AD5)),1,0)</f>
        <v>0</v>
      </c>
      <c r="AJ5" s="17" t="n">
        <f aca="false">IF(ISNUMBER(SEARCH("S3R06",$AD5)),1,0)</f>
        <v>0</v>
      </c>
      <c r="AK5" s="17" t="n">
        <f aca="false">IF(ISNUMBER(SEARCH("R07",$AD5)),1,0)</f>
        <v>0</v>
      </c>
      <c r="AL5" s="17" t="n">
        <f aca="false">IF(ISNUMBER(SEARCH("R09",$AD5)),1,0)</f>
        <v>0</v>
      </c>
      <c r="AM5" s="17" t="n">
        <f aca="false">IF(ISNUMBER(SEARCH("R10",$AD5)),1,0)</f>
        <v>0</v>
      </c>
      <c r="AN5" s="17" t="n">
        <f aca="false">IF(ISNUMBER(SEARCH("S5",$AD5)),1,0)</f>
        <v>1</v>
      </c>
      <c r="AO5" s="17" t="n">
        <f aca="false">IF(ISNUMBER(SEARCH("S6",$AD5)),1,0)</f>
        <v>0</v>
      </c>
      <c r="AP5" s="17" t="n">
        <f aca="false">IF(ISNUMBER(SEARCH("TR",$AD5)),1,0)</f>
        <v>0</v>
      </c>
    </row>
    <row r="6" customFormat="false" ht="68.25" hidden="false" customHeight="true" outlineLevel="0" collapsed="false">
      <c r="A6" s="4" t="s">
        <v>220</v>
      </c>
      <c r="B6" s="4" t="s">
        <v>194</v>
      </c>
      <c r="C6" s="4" t="s">
        <v>195</v>
      </c>
      <c r="D6" s="4" t="s">
        <v>216</v>
      </c>
      <c r="E6" s="4" t="s">
        <v>55</v>
      </c>
      <c r="F6" s="4" t="s">
        <v>197</v>
      </c>
      <c r="G6" s="4" t="s">
        <v>84</v>
      </c>
      <c r="H6" s="4" t="s">
        <v>156</v>
      </c>
      <c r="I6" s="4" t="s">
        <v>77</v>
      </c>
      <c r="J6" s="4" t="s">
        <v>69</v>
      </c>
      <c r="K6" s="4" t="s">
        <v>217</v>
      </c>
      <c r="L6" s="4" t="s">
        <v>48</v>
      </c>
      <c r="M6" s="4" t="s">
        <v>60</v>
      </c>
      <c r="N6" s="4" t="s">
        <v>50</v>
      </c>
      <c r="O6" s="4" t="s">
        <v>221</v>
      </c>
      <c r="P6" s="4" t="s">
        <v>200</v>
      </c>
      <c r="Q6" s="4" t="s">
        <v>51</v>
      </c>
      <c r="R6" s="4" t="s">
        <v>222</v>
      </c>
      <c r="S6" s="16" t="n">
        <f aca="false">IF(ISNUMBER(SEARCH("E0",$H6)),1,0)</f>
        <v>0</v>
      </c>
      <c r="T6" s="16" t="n">
        <f aca="false">IF(ISNUMBER(SEARCH("E1",$H6)),1,0)</f>
        <v>0</v>
      </c>
      <c r="U6" s="16" t="n">
        <f aca="false">IF(ISNUMBER(SEARCH("E2",$H6)),1,0)</f>
        <v>0</v>
      </c>
      <c r="V6" s="16" t="n">
        <f aca="false">IF(ISNUMBER(SEARCH("E3",$H6)),1,0)</f>
        <v>0</v>
      </c>
      <c r="W6" s="16" t="n">
        <f aca="false">IF(ISNUMBER(SEARCH("E4",$H6)),1,0)</f>
        <v>0</v>
      </c>
      <c r="X6" s="16" t="n">
        <f aca="false">IF(ISNUMBER(SEARCH("E5",$H6)),1,0)</f>
        <v>0</v>
      </c>
      <c r="Y6" s="16" t="n">
        <f aca="false">IF(ISNUMBER(SEARCH("E6",$H6)),1,0)</f>
        <v>0</v>
      </c>
      <c r="Z6" s="16" t="n">
        <f aca="false">IF(ISNUMBER(SEARCH("E7",$H6)),1,0)</f>
        <v>0</v>
      </c>
      <c r="AA6" s="16" t="n">
        <f aca="false">IF(ISNUMBER(SEARCH("E8",$H6)),1,0)</f>
        <v>1</v>
      </c>
      <c r="AB6" s="16" t="n">
        <f aca="false">IF(ISNUMBER(SEARCH("E9",$H6)),1,0)</f>
        <v>0</v>
      </c>
      <c r="AC6" s="16" t="n">
        <f aca="false">IF(ISNUMBER(SEARCH("TR",$H6)),1,0)</f>
        <v>0</v>
      </c>
      <c r="AD6" s="10" t="s">
        <v>191</v>
      </c>
      <c r="AE6" s="17" t="n">
        <f aca="false">IF(ISNUMBER(SEARCH("S0",$AD6)),1,0)</f>
        <v>0</v>
      </c>
      <c r="AF6" s="17" t="n">
        <f aca="false">IF(ISNUMBER(SEARCH("R01",$AD6)),1,0)</f>
        <v>0</v>
      </c>
      <c r="AG6" s="17" t="n">
        <f aca="false">IF(ISNUMBER(SEARCH("R02R03",$AD6)),1,0)</f>
        <v>0</v>
      </c>
      <c r="AH6" s="17" t="n">
        <f aca="false">IF(ISNUMBER(SEARCH("R04",$AD6)),1,0)</f>
        <v>0</v>
      </c>
      <c r="AI6" s="17" t="n">
        <f aca="false">IF(ISNUMBER(SEARCH("R05",$AD6)),1,0)</f>
        <v>0</v>
      </c>
      <c r="AJ6" s="17" t="n">
        <f aca="false">IF(ISNUMBER(SEARCH("S3R06",$AD6)),1,0)</f>
        <v>0</v>
      </c>
      <c r="AK6" s="17" t="n">
        <f aca="false">IF(ISNUMBER(SEARCH("R07",$AD6)),1,0)</f>
        <v>0</v>
      </c>
      <c r="AL6" s="17" t="n">
        <f aca="false">IF(ISNUMBER(SEARCH("R09",$AD6)),1,0)</f>
        <v>0</v>
      </c>
      <c r="AM6" s="17" t="n">
        <f aca="false">IF(ISNUMBER(SEARCH("R10",$AD6)),1,0)</f>
        <v>0</v>
      </c>
      <c r="AN6" s="17" t="n">
        <f aca="false">IF(ISNUMBER(SEARCH("S5",$AD6)),1,0)</f>
        <v>1</v>
      </c>
      <c r="AO6" s="17" t="n">
        <f aca="false">IF(ISNUMBER(SEARCH("S6",$AD6)),1,0)</f>
        <v>0</v>
      </c>
      <c r="AP6" s="17" t="n">
        <f aca="false">IF(ISNUMBER(SEARCH("TR",$AD6)),1,0)</f>
        <v>0</v>
      </c>
    </row>
    <row r="7" customFormat="false" ht="57" hidden="false" customHeight="true" outlineLevel="0" collapsed="false">
      <c r="A7" s="4" t="s">
        <v>223</v>
      </c>
      <c r="B7" s="4" t="s">
        <v>194</v>
      </c>
      <c r="C7" s="4" t="s">
        <v>195</v>
      </c>
      <c r="D7" s="4" t="s">
        <v>216</v>
      </c>
      <c r="E7" s="4" t="s">
        <v>55</v>
      </c>
      <c r="F7" s="4" t="s">
        <v>197</v>
      </c>
      <c r="G7" s="4" t="s">
        <v>76</v>
      </c>
      <c r="H7" s="4" t="s">
        <v>156</v>
      </c>
      <c r="I7" s="4" t="s">
        <v>77</v>
      </c>
      <c r="J7" s="4" t="s">
        <v>107</v>
      </c>
      <c r="K7" s="4" t="s">
        <v>198</v>
      </c>
      <c r="L7" s="4" t="s">
        <v>48</v>
      </c>
      <c r="M7" s="4" t="s">
        <v>60</v>
      </c>
      <c r="N7" s="4" t="s">
        <v>50</v>
      </c>
      <c r="O7" s="4" t="s">
        <v>224</v>
      </c>
      <c r="P7" s="4" t="s">
        <v>200</v>
      </c>
      <c r="Q7" s="4" t="s">
        <v>51</v>
      </c>
      <c r="R7" s="4" t="s">
        <v>225</v>
      </c>
      <c r="S7" s="16" t="n">
        <f aca="false">IF(ISNUMBER(SEARCH("E0",$H7)),1,0)</f>
        <v>0</v>
      </c>
      <c r="T7" s="16" t="n">
        <f aca="false">IF(ISNUMBER(SEARCH("E1",$H7)),1,0)</f>
        <v>0</v>
      </c>
      <c r="U7" s="16" t="n">
        <f aca="false">IF(ISNUMBER(SEARCH("E2",$H7)),1,0)</f>
        <v>0</v>
      </c>
      <c r="V7" s="16" t="n">
        <f aca="false">IF(ISNUMBER(SEARCH("E3",$H7)),1,0)</f>
        <v>0</v>
      </c>
      <c r="W7" s="16" t="n">
        <f aca="false">IF(ISNUMBER(SEARCH("E4",$H7)),1,0)</f>
        <v>0</v>
      </c>
      <c r="X7" s="16" t="n">
        <f aca="false">IF(ISNUMBER(SEARCH("E5",$H7)),1,0)</f>
        <v>0</v>
      </c>
      <c r="Y7" s="16" t="n">
        <f aca="false">IF(ISNUMBER(SEARCH("E6",$H7)),1,0)</f>
        <v>0</v>
      </c>
      <c r="Z7" s="16" t="n">
        <f aca="false">IF(ISNUMBER(SEARCH("E7",$H7)),1,0)</f>
        <v>0</v>
      </c>
      <c r="AA7" s="16" t="n">
        <f aca="false">IF(ISNUMBER(SEARCH("E8",$H7)),1,0)</f>
        <v>1</v>
      </c>
      <c r="AB7" s="16" t="n">
        <f aca="false">IF(ISNUMBER(SEARCH("E9",$H7)),1,0)</f>
        <v>0</v>
      </c>
      <c r="AC7" s="16" t="n">
        <f aca="false">IF(ISNUMBER(SEARCH("TR",$H7)),1,0)</f>
        <v>0</v>
      </c>
      <c r="AD7" s="10" t="s">
        <v>191</v>
      </c>
      <c r="AE7" s="17" t="n">
        <f aca="false">IF(ISNUMBER(SEARCH("S0",$AD7)),1,0)</f>
        <v>0</v>
      </c>
      <c r="AF7" s="17" t="n">
        <f aca="false">IF(ISNUMBER(SEARCH("R01",$AD7)),1,0)</f>
        <v>0</v>
      </c>
      <c r="AG7" s="17" t="n">
        <f aca="false">IF(ISNUMBER(SEARCH("R02R03",$AD7)),1,0)</f>
        <v>0</v>
      </c>
      <c r="AH7" s="17" t="n">
        <f aca="false">IF(ISNUMBER(SEARCH("R04",$AD7)),1,0)</f>
        <v>0</v>
      </c>
      <c r="AI7" s="17" t="n">
        <f aca="false">IF(ISNUMBER(SEARCH("R05",$AD7)),1,0)</f>
        <v>0</v>
      </c>
      <c r="AJ7" s="17" t="n">
        <f aca="false">IF(ISNUMBER(SEARCH("S3R06",$AD7)),1,0)</f>
        <v>0</v>
      </c>
      <c r="AK7" s="17" t="n">
        <f aca="false">IF(ISNUMBER(SEARCH("R07",$AD7)),1,0)</f>
        <v>0</v>
      </c>
      <c r="AL7" s="17" t="n">
        <f aca="false">IF(ISNUMBER(SEARCH("R09",$AD7)),1,0)</f>
        <v>0</v>
      </c>
      <c r="AM7" s="17" t="n">
        <f aca="false">IF(ISNUMBER(SEARCH("R10",$AD7)),1,0)</f>
        <v>0</v>
      </c>
      <c r="AN7" s="17" t="n">
        <f aca="false">IF(ISNUMBER(SEARCH("S5",$AD7)),1,0)</f>
        <v>1</v>
      </c>
      <c r="AO7" s="17" t="n">
        <f aca="false">IF(ISNUMBER(SEARCH("S6",$AD7)),1,0)</f>
        <v>0</v>
      </c>
      <c r="AP7" s="17" t="n">
        <f aca="false">IF(ISNUMBER(SEARCH("TR",$AD7)),1,0)</f>
        <v>0</v>
      </c>
    </row>
    <row r="8" customFormat="false" ht="90.75" hidden="false" customHeight="true" outlineLevel="0" collapsed="false">
      <c r="A8" s="4" t="s">
        <v>226</v>
      </c>
      <c r="B8" s="4" t="s">
        <v>194</v>
      </c>
      <c r="C8" s="4" t="s">
        <v>195</v>
      </c>
      <c r="D8" s="4" t="s">
        <v>227</v>
      </c>
      <c r="E8" s="4" t="s">
        <v>55</v>
      </c>
      <c r="F8" s="4" t="s">
        <v>197</v>
      </c>
      <c r="G8" s="4" t="s">
        <v>67</v>
      </c>
      <c r="H8" s="4" t="s">
        <v>211</v>
      </c>
      <c r="I8" s="4" t="s">
        <v>118</v>
      </c>
      <c r="J8" s="4" t="s">
        <v>47</v>
      </c>
      <c r="K8" s="4" t="s">
        <v>198</v>
      </c>
      <c r="L8" s="4" t="s">
        <v>59</v>
      </c>
      <c r="M8" s="4" t="s">
        <v>60</v>
      </c>
      <c r="N8" s="4" t="s">
        <v>50</v>
      </c>
      <c r="O8" s="4" t="s">
        <v>228</v>
      </c>
      <c r="P8" s="4" t="s">
        <v>200</v>
      </c>
      <c r="Q8" s="4" t="s">
        <v>51</v>
      </c>
      <c r="R8" s="4" t="s">
        <v>229</v>
      </c>
      <c r="S8" s="16" t="n">
        <f aca="false">IF(ISNUMBER(SEARCH("E0",$H8)),1,0)</f>
        <v>0</v>
      </c>
      <c r="T8" s="16" t="n">
        <f aca="false">IF(ISNUMBER(SEARCH("E1",$H8)),1,0)</f>
        <v>0</v>
      </c>
      <c r="U8" s="16" t="n">
        <f aca="false">IF(ISNUMBER(SEARCH("E2",$H8)),1,0)</f>
        <v>0</v>
      </c>
      <c r="V8" s="16" t="n">
        <f aca="false">IF(ISNUMBER(SEARCH("E3",$H8)),1,0)</f>
        <v>0</v>
      </c>
      <c r="W8" s="16" t="n">
        <f aca="false">IF(ISNUMBER(SEARCH("E4",$H8)),1,0)</f>
        <v>1</v>
      </c>
      <c r="X8" s="16" t="n">
        <f aca="false">IF(ISNUMBER(SEARCH("E5",$H8)),1,0)</f>
        <v>0</v>
      </c>
      <c r="Y8" s="16" t="n">
        <f aca="false">IF(ISNUMBER(SEARCH("E6",$H8)),1,0)</f>
        <v>0</v>
      </c>
      <c r="Z8" s="16" t="n">
        <f aca="false">IF(ISNUMBER(SEARCH("E7",$H8)),1,0)</f>
        <v>0</v>
      </c>
      <c r="AA8" s="16" t="n">
        <f aca="false">IF(ISNUMBER(SEARCH("E8",$H8)),1,0)</f>
        <v>1</v>
      </c>
      <c r="AB8" s="16" t="n">
        <f aca="false">IF(ISNUMBER(SEARCH("E9",$H8)),1,0)</f>
        <v>0</v>
      </c>
      <c r="AC8" s="16" t="n">
        <f aca="false">IF(ISNUMBER(SEARCH("TR",$H8)),1,0)</f>
        <v>0</v>
      </c>
      <c r="AD8" s="10" t="s">
        <v>230</v>
      </c>
      <c r="AE8" s="17" t="n">
        <f aca="false">IF(ISNUMBER(SEARCH("S0",$AD8)),1,0)</f>
        <v>0</v>
      </c>
      <c r="AF8" s="17" t="n">
        <f aca="false">IF(ISNUMBER(SEARCH("R01",$AD8)),1,0)</f>
        <v>0</v>
      </c>
      <c r="AG8" s="17" t="n">
        <f aca="false">IF(ISNUMBER(SEARCH("R02R03",$AD8)),1,0)</f>
        <v>0</v>
      </c>
      <c r="AH8" s="17" t="n">
        <f aca="false">IF(ISNUMBER(SEARCH("R04",$AD8)),1,0)</f>
        <v>0</v>
      </c>
      <c r="AI8" s="17" t="n">
        <f aca="false">IF(ISNUMBER(SEARCH("R05",$AD8)),1,0)</f>
        <v>1</v>
      </c>
      <c r="AJ8" s="17" t="n">
        <f aca="false">IF(ISNUMBER(SEARCH("S3R06",$AD8)),1,0)</f>
        <v>0</v>
      </c>
      <c r="AK8" s="17" t="n">
        <f aca="false">IF(ISNUMBER(SEARCH("R07",$AD8)),1,0)</f>
        <v>0</v>
      </c>
      <c r="AL8" s="17" t="n">
        <f aca="false">IF(ISNUMBER(SEARCH("R09",$AD8)),1,0)</f>
        <v>0</v>
      </c>
      <c r="AM8" s="17" t="n">
        <f aca="false">IF(ISNUMBER(SEARCH("R10",$AD8)),1,0)</f>
        <v>0</v>
      </c>
      <c r="AN8" s="17" t="n">
        <f aca="false">IF(ISNUMBER(SEARCH("S5",$AD8)),1,0)</f>
        <v>1</v>
      </c>
      <c r="AO8" s="17" t="n">
        <f aca="false">IF(ISNUMBER(SEARCH("S6",$AD8)),1,0)</f>
        <v>0</v>
      </c>
      <c r="AP8" s="17" t="n">
        <f aca="false">IF(ISNUMBER(SEARCH("TR",$AD8)),1,0)</f>
        <v>0</v>
      </c>
    </row>
    <row r="9" customFormat="false" ht="57" hidden="false" customHeight="true" outlineLevel="0" collapsed="false">
      <c r="A9" s="4" t="s">
        <v>231</v>
      </c>
      <c r="B9" s="4" t="s">
        <v>194</v>
      </c>
      <c r="C9" s="4" t="s">
        <v>195</v>
      </c>
      <c r="D9" s="4" t="s">
        <v>232</v>
      </c>
      <c r="E9" s="4" t="s">
        <v>55</v>
      </c>
      <c r="F9" s="4" t="s">
        <v>197</v>
      </c>
      <c r="G9" s="4" t="s">
        <v>110</v>
      </c>
      <c r="H9" s="4" t="s">
        <v>233</v>
      </c>
      <c r="I9" s="4" t="s">
        <v>118</v>
      </c>
      <c r="J9" s="4" t="s">
        <v>78</v>
      </c>
      <c r="K9" s="4" t="s">
        <v>198</v>
      </c>
      <c r="L9" s="4" t="s">
        <v>48</v>
      </c>
      <c r="M9" s="4" t="s">
        <v>60</v>
      </c>
      <c r="N9" s="4" t="s">
        <v>50</v>
      </c>
      <c r="O9" s="4" t="s">
        <v>234</v>
      </c>
      <c r="P9" s="4" t="s">
        <v>200</v>
      </c>
      <c r="Q9" s="4" t="s">
        <v>51</v>
      </c>
      <c r="R9" s="4" t="s">
        <v>235</v>
      </c>
      <c r="S9" s="16" t="n">
        <f aca="false">IF(ISNUMBER(SEARCH("E0",$H9)),1,0)</f>
        <v>1</v>
      </c>
      <c r="T9" s="16" t="n">
        <f aca="false">IF(ISNUMBER(SEARCH("E1",$H9)),1,0)</f>
        <v>0</v>
      </c>
      <c r="U9" s="16" t="n">
        <f aca="false">IF(ISNUMBER(SEARCH("E2",$H9)),1,0)</f>
        <v>0</v>
      </c>
      <c r="V9" s="16" t="n">
        <f aca="false">IF(ISNUMBER(SEARCH("E3",$H9)),1,0)</f>
        <v>0</v>
      </c>
      <c r="W9" s="16" t="n">
        <f aca="false">IF(ISNUMBER(SEARCH("E4",$H9)),1,0)</f>
        <v>0</v>
      </c>
      <c r="X9" s="16" t="n">
        <f aca="false">IF(ISNUMBER(SEARCH("E5",$H9)),1,0)</f>
        <v>0</v>
      </c>
      <c r="Y9" s="16" t="n">
        <f aca="false">IF(ISNUMBER(SEARCH("E6",$H9)),1,0)</f>
        <v>0</v>
      </c>
      <c r="Z9" s="16" t="n">
        <f aca="false">IF(ISNUMBER(SEARCH("E7",$H9)),1,0)</f>
        <v>0</v>
      </c>
      <c r="AA9" s="16" t="n">
        <f aca="false">IF(ISNUMBER(SEARCH("E8",$H9)),1,0)</f>
        <v>0</v>
      </c>
      <c r="AB9" s="16" t="n">
        <f aca="false">IF(ISNUMBER(SEARCH("E9",$H9)),1,0)</f>
        <v>1</v>
      </c>
      <c r="AC9" s="16" t="n">
        <f aca="false">IF(ISNUMBER(SEARCH("TR",$H9)),1,0)</f>
        <v>0</v>
      </c>
      <c r="AD9" s="10" t="s">
        <v>236</v>
      </c>
      <c r="AE9" s="17" t="n">
        <f aca="false">IF(ISNUMBER(SEARCH("S0",$AD9)),1,0)</f>
        <v>1</v>
      </c>
      <c r="AF9" s="17" t="n">
        <f aca="false">IF(ISNUMBER(SEARCH("R01",$AD9)),1,0)</f>
        <v>0</v>
      </c>
      <c r="AG9" s="17" t="n">
        <f aca="false">IF(ISNUMBER(SEARCH("R02R03",$AD9)),1,0)</f>
        <v>0</v>
      </c>
      <c r="AH9" s="17" t="n">
        <f aca="false">IF(ISNUMBER(SEARCH("R04",$AD9)),1,0)</f>
        <v>0</v>
      </c>
      <c r="AI9" s="17" t="n">
        <f aca="false">IF(ISNUMBER(SEARCH("R05",$AD9)),1,0)</f>
        <v>0</v>
      </c>
      <c r="AJ9" s="17" t="n">
        <f aca="false">IF(ISNUMBER(SEARCH("S3R06",$AD9)),1,0)</f>
        <v>0</v>
      </c>
      <c r="AK9" s="17" t="n">
        <f aca="false">IF(ISNUMBER(SEARCH("R07",$AD9)),1,0)</f>
        <v>0</v>
      </c>
      <c r="AL9" s="17" t="n">
        <f aca="false">IF(ISNUMBER(SEARCH("R09",$AD9)),1,0)</f>
        <v>0</v>
      </c>
      <c r="AM9" s="17" t="n">
        <f aca="false">IF(ISNUMBER(SEARCH("R10",$AD9)),1,0)</f>
        <v>0</v>
      </c>
      <c r="AN9" s="17" t="n">
        <f aca="false">IF(ISNUMBER(SEARCH("S5",$AD9)),1,0)</f>
        <v>0</v>
      </c>
      <c r="AO9" s="17" t="n">
        <f aca="false">IF(ISNUMBER(SEARCH("S6",$AD9)),1,0)</f>
        <v>1</v>
      </c>
      <c r="AP9" s="17" t="n">
        <f aca="false">IF(ISNUMBER(SEARCH("TR",$AD9)),1,0)</f>
        <v>0</v>
      </c>
    </row>
    <row r="10" customFormat="false" ht="79.5" hidden="false" customHeight="true" outlineLevel="0" collapsed="false">
      <c r="A10" s="4" t="s">
        <v>237</v>
      </c>
      <c r="B10" s="4" t="s">
        <v>194</v>
      </c>
      <c r="C10" s="4" t="s">
        <v>195</v>
      </c>
      <c r="D10" s="4" t="s">
        <v>238</v>
      </c>
      <c r="E10" s="4" t="s">
        <v>55</v>
      </c>
      <c r="F10" s="4" t="s">
        <v>197</v>
      </c>
      <c r="G10" s="4" t="s">
        <v>76</v>
      </c>
      <c r="H10" s="4" t="s">
        <v>161</v>
      </c>
      <c r="I10" s="4" t="s">
        <v>93</v>
      </c>
      <c r="J10" s="4" t="s">
        <v>69</v>
      </c>
      <c r="K10" s="4" t="s">
        <v>198</v>
      </c>
      <c r="L10" s="4" t="s">
        <v>48</v>
      </c>
      <c r="M10" s="4" t="s">
        <v>60</v>
      </c>
      <c r="N10" s="4" t="s">
        <v>50</v>
      </c>
      <c r="O10" s="4" t="s">
        <v>239</v>
      </c>
      <c r="P10" s="4" t="s">
        <v>200</v>
      </c>
      <c r="Q10" s="4" t="s">
        <v>51</v>
      </c>
      <c r="R10" s="4" t="s">
        <v>240</v>
      </c>
      <c r="S10" s="16" t="n">
        <f aca="false">IF(ISNUMBER(SEARCH("E0",$H10)),1,0)</f>
        <v>0</v>
      </c>
      <c r="T10" s="16" t="n">
        <f aca="false">IF(ISNUMBER(SEARCH("E1",$H10)),1,0)</f>
        <v>0</v>
      </c>
      <c r="U10" s="16" t="n">
        <f aca="false">IF(ISNUMBER(SEARCH("E2",$H10)),1,0)</f>
        <v>0</v>
      </c>
      <c r="V10" s="16" t="n">
        <f aca="false">IF(ISNUMBER(SEARCH("E3",$H10)),1,0)</f>
        <v>0</v>
      </c>
      <c r="W10" s="16" t="n">
        <f aca="false">IF(ISNUMBER(SEARCH("E4",$H10)),1,0)</f>
        <v>0</v>
      </c>
      <c r="X10" s="16" t="n">
        <f aca="false">IF(ISNUMBER(SEARCH("E5",$H10)),1,0)</f>
        <v>0</v>
      </c>
      <c r="Y10" s="16" t="n">
        <f aca="false">IF(ISNUMBER(SEARCH("E6",$H10)),1,0)</f>
        <v>0</v>
      </c>
      <c r="Z10" s="16" t="n">
        <f aca="false">IF(ISNUMBER(SEARCH("E7",$H10)),1,0)</f>
        <v>0</v>
      </c>
      <c r="AA10" s="16" t="n">
        <f aca="false">IF(ISNUMBER(SEARCH("E8",$H10)),1,0)</f>
        <v>0</v>
      </c>
      <c r="AB10" s="16" t="n">
        <f aca="false">IF(ISNUMBER(SEARCH("E9",$H10)),1,0)</f>
        <v>0</v>
      </c>
      <c r="AC10" s="16" t="n">
        <f aca="false">IF(ISNUMBER(SEARCH("TR",$H10)),1,0)</f>
        <v>1</v>
      </c>
      <c r="AD10" s="10" t="s">
        <v>161</v>
      </c>
      <c r="AE10" s="17" t="n">
        <f aca="false">IF(ISNUMBER(SEARCH("S0",$AD10)),1,0)</f>
        <v>0</v>
      </c>
      <c r="AF10" s="17" t="n">
        <f aca="false">IF(ISNUMBER(SEARCH("R01",$AD10)),1,0)</f>
        <v>0</v>
      </c>
      <c r="AG10" s="17" t="n">
        <f aca="false">IF(ISNUMBER(SEARCH("R02R03",$AD10)),1,0)</f>
        <v>0</v>
      </c>
      <c r="AH10" s="17" t="n">
        <f aca="false">IF(ISNUMBER(SEARCH("R04",$AD10)),1,0)</f>
        <v>0</v>
      </c>
      <c r="AI10" s="17" t="n">
        <f aca="false">IF(ISNUMBER(SEARCH("R05",$AD10)),1,0)</f>
        <v>0</v>
      </c>
      <c r="AJ10" s="17" t="n">
        <f aca="false">IF(ISNUMBER(SEARCH("S3R06",$AD10)),1,0)</f>
        <v>0</v>
      </c>
      <c r="AK10" s="17" t="n">
        <f aca="false">IF(ISNUMBER(SEARCH("R07",$AD10)),1,0)</f>
        <v>0</v>
      </c>
      <c r="AL10" s="17" t="n">
        <f aca="false">IF(ISNUMBER(SEARCH("R09",$AD10)),1,0)</f>
        <v>0</v>
      </c>
      <c r="AM10" s="17" t="n">
        <f aca="false">IF(ISNUMBER(SEARCH("R10",$AD10)),1,0)</f>
        <v>0</v>
      </c>
      <c r="AN10" s="17" t="n">
        <f aca="false">IF(ISNUMBER(SEARCH("S5",$AD10)),1,0)</f>
        <v>0</v>
      </c>
      <c r="AO10" s="17" t="n">
        <f aca="false">IF(ISNUMBER(SEARCH("S6",$AD10)),1,0)</f>
        <v>0</v>
      </c>
      <c r="AP10" s="17" t="n">
        <f aca="false">IF(ISNUMBER(SEARCH("TR",$AD10)),1,0)</f>
        <v>1</v>
      </c>
    </row>
    <row r="11" customFormat="false" ht="34.5" hidden="false" customHeight="true" outlineLevel="0" collapsed="false">
      <c r="A11" s="4" t="s">
        <v>241</v>
      </c>
      <c r="B11" s="4" t="s">
        <v>194</v>
      </c>
      <c r="C11" s="4" t="s">
        <v>242</v>
      </c>
      <c r="D11" s="4" t="s">
        <v>243</v>
      </c>
      <c r="E11" s="4" t="s">
        <v>66</v>
      </c>
      <c r="F11" s="4" t="s">
        <v>197</v>
      </c>
      <c r="G11" s="4" t="s">
        <v>110</v>
      </c>
      <c r="H11" s="4" t="s">
        <v>244</v>
      </c>
      <c r="I11" s="4" t="s">
        <v>68</v>
      </c>
      <c r="J11" s="4" t="s">
        <v>47</v>
      </c>
      <c r="K11" s="4" t="s">
        <v>198</v>
      </c>
      <c r="L11" s="4" t="s">
        <v>48</v>
      </c>
      <c r="M11" s="4" t="s">
        <v>60</v>
      </c>
      <c r="N11" s="4" t="s">
        <v>50</v>
      </c>
      <c r="O11" s="4" t="s">
        <v>245</v>
      </c>
      <c r="P11" s="4" t="s">
        <v>246</v>
      </c>
      <c r="Q11" s="4" t="s">
        <v>51</v>
      </c>
      <c r="R11" s="4" t="s">
        <v>247</v>
      </c>
      <c r="S11" s="16" t="n">
        <f aca="false">IF(ISNUMBER(SEARCH("E0",$H11)),1,0)</f>
        <v>0</v>
      </c>
      <c r="T11" s="16" t="n">
        <f aca="false">IF(ISNUMBER(SEARCH("E1",$H11)),1,0)</f>
        <v>0</v>
      </c>
      <c r="U11" s="16" t="n">
        <f aca="false">IF(ISNUMBER(SEARCH("E2",$H11)),1,0)</f>
        <v>0</v>
      </c>
      <c r="V11" s="16" t="n">
        <f aca="false">IF(ISNUMBER(SEARCH("E3",$H11)),1,0)</f>
        <v>0</v>
      </c>
      <c r="W11" s="16" t="n">
        <f aca="false">IF(ISNUMBER(SEARCH("E4",$H11)),1,0)</f>
        <v>1</v>
      </c>
      <c r="X11" s="16" t="n">
        <f aca="false">IF(ISNUMBER(SEARCH("E5",$H11)),1,0)</f>
        <v>0</v>
      </c>
      <c r="Y11" s="16" t="n">
        <f aca="false">IF(ISNUMBER(SEARCH("E6",$H11)),1,0)</f>
        <v>0</v>
      </c>
      <c r="Z11" s="16" t="n">
        <f aca="false">IF(ISNUMBER(SEARCH("E7",$H11)),1,0)</f>
        <v>1</v>
      </c>
      <c r="AA11" s="16" t="n">
        <f aca="false">IF(ISNUMBER(SEARCH("E8",$H11)),1,0)</f>
        <v>1</v>
      </c>
      <c r="AB11" s="16" t="n">
        <f aca="false">IF(ISNUMBER(SEARCH("E9",$H11)),1,0)</f>
        <v>0</v>
      </c>
      <c r="AC11" s="16" t="n">
        <f aca="false">IF(ISNUMBER(SEARCH("TR",$H11)),1,0)</f>
        <v>0</v>
      </c>
      <c r="AD11" s="10" t="s">
        <v>248</v>
      </c>
      <c r="AE11" s="17" t="n">
        <f aca="false">IF(ISNUMBER(SEARCH("S0",$AD11)),1,0)</f>
        <v>0</v>
      </c>
      <c r="AF11" s="17" t="n">
        <f aca="false">IF(ISNUMBER(SEARCH("R01",$AD11)),1,0)</f>
        <v>0</v>
      </c>
      <c r="AG11" s="17" t="n">
        <f aca="false">IF(ISNUMBER(SEARCH("R02R03",$AD11)),1,0)</f>
        <v>0</v>
      </c>
      <c r="AH11" s="17" t="n">
        <f aca="false">IF(ISNUMBER(SEARCH("R04",$AD11)),1,0)</f>
        <v>0</v>
      </c>
      <c r="AI11" s="17" t="n">
        <f aca="false">IF(ISNUMBER(SEARCH("R05",$AD11)),1,0)</f>
        <v>1</v>
      </c>
      <c r="AJ11" s="17" t="n">
        <f aca="false">IF(ISNUMBER(SEARCH("S3R06",$AD11)),1,0)</f>
        <v>0</v>
      </c>
      <c r="AK11" s="17" t="n">
        <f aca="false">IF(ISNUMBER(SEARCH("R07",$AD11)),1,0)</f>
        <v>1</v>
      </c>
      <c r="AL11" s="17" t="n">
        <f aca="false">IF(ISNUMBER(SEARCH("R09",$AD11)),1,0)</f>
        <v>0</v>
      </c>
      <c r="AM11" s="17" t="n">
        <f aca="false">IF(ISNUMBER(SEARCH("R10",$AD11)),1,0)</f>
        <v>1</v>
      </c>
      <c r="AN11" s="17" t="n">
        <f aca="false">IF(ISNUMBER(SEARCH("S5",$AD11)),1,0)</f>
        <v>1</v>
      </c>
      <c r="AO11" s="17" t="n">
        <f aca="false">IF(ISNUMBER(SEARCH("S6",$AD11)),1,0)</f>
        <v>0</v>
      </c>
      <c r="AP11" s="17" t="n">
        <f aca="false">IF(ISNUMBER(SEARCH("TR",$AD11)),1,0)</f>
        <v>0</v>
      </c>
    </row>
    <row r="12" customFormat="false" ht="34.5" hidden="false" customHeight="true" outlineLevel="0" collapsed="false">
      <c r="A12" s="4" t="s">
        <v>249</v>
      </c>
      <c r="B12" s="4" t="s">
        <v>194</v>
      </c>
      <c r="C12" s="4" t="s">
        <v>242</v>
      </c>
      <c r="D12" s="4" t="s">
        <v>250</v>
      </c>
      <c r="E12" s="4" t="s">
        <v>66</v>
      </c>
      <c r="F12" s="4" t="s">
        <v>197</v>
      </c>
      <c r="G12" s="4" t="s">
        <v>110</v>
      </c>
      <c r="H12" s="4" t="s">
        <v>156</v>
      </c>
      <c r="I12" s="4" t="s">
        <v>77</v>
      </c>
      <c r="J12" s="4" t="s">
        <v>78</v>
      </c>
      <c r="K12" s="4" t="s">
        <v>198</v>
      </c>
      <c r="L12" s="4" t="s">
        <v>48</v>
      </c>
      <c r="M12" s="4" t="s">
        <v>60</v>
      </c>
      <c r="N12" s="4" t="s">
        <v>50</v>
      </c>
      <c r="O12" s="4" t="s">
        <v>251</v>
      </c>
      <c r="P12" s="4" t="s">
        <v>246</v>
      </c>
      <c r="Q12" s="4" t="s">
        <v>51</v>
      </c>
      <c r="R12" s="4"/>
      <c r="S12" s="16" t="n">
        <f aca="false">IF(ISNUMBER(SEARCH("E0",$H12)),1,0)</f>
        <v>0</v>
      </c>
      <c r="T12" s="16" t="n">
        <f aca="false">IF(ISNUMBER(SEARCH("E1",$H12)),1,0)</f>
        <v>0</v>
      </c>
      <c r="U12" s="16" t="n">
        <f aca="false">IF(ISNUMBER(SEARCH("E2",$H12)),1,0)</f>
        <v>0</v>
      </c>
      <c r="V12" s="16" t="n">
        <f aca="false">IF(ISNUMBER(SEARCH("E3",$H12)),1,0)</f>
        <v>0</v>
      </c>
      <c r="W12" s="16" t="n">
        <f aca="false">IF(ISNUMBER(SEARCH("E4",$H12)),1,0)</f>
        <v>0</v>
      </c>
      <c r="X12" s="16" t="n">
        <f aca="false">IF(ISNUMBER(SEARCH("E5",$H12)),1,0)</f>
        <v>0</v>
      </c>
      <c r="Y12" s="16" t="n">
        <f aca="false">IF(ISNUMBER(SEARCH("E6",$H12)),1,0)</f>
        <v>0</v>
      </c>
      <c r="Z12" s="16" t="n">
        <f aca="false">IF(ISNUMBER(SEARCH("E7",$H12)),1,0)</f>
        <v>0</v>
      </c>
      <c r="AA12" s="16" t="n">
        <f aca="false">IF(ISNUMBER(SEARCH("E8",$H12)),1,0)</f>
        <v>1</v>
      </c>
      <c r="AB12" s="16" t="n">
        <f aca="false">IF(ISNUMBER(SEARCH("E9",$H12)),1,0)</f>
        <v>0</v>
      </c>
      <c r="AC12" s="16" t="n">
        <f aca="false">IF(ISNUMBER(SEARCH("TR",$H12)),1,0)</f>
        <v>0</v>
      </c>
      <c r="AD12" s="10" t="s">
        <v>191</v>
      </c>
      <c r="AE12" s="17" t="n">
        <f aca="false">IF(ISNUMBER(SEARCH("S0",$AD12)),1,0)</f>
        <v>0</v>
      </c>
      <c r="AF12" s="17" t="n">
        <f aca="false">IF(ISNUMBER(SEARCH("R01",$AD12)),1,0)</f>
        <v>0</v>
      </c>
      <c r="AG12" s="17" t="n">
        <f aca="false">IF(ISNUMBER(SEARCH("R02R03",$AD12)),1,0)</f>
        <v>0</v>
      </c>
      <c r="AH12" s="17" t="n">
        <f aca="false">IF(ISNUMBER(SEARCH("R04",$AD12)),1,0)</f>
        <v>0</v>
      </c>
      <c r="AI12" s="17" t="n">
        <f aca="false">IF(ISNUMBER(SEARCH("R05",$AD12)),1,0)</f>
        <v>0</v>
      </c>
      <c r="AJ12" s="17" t="n">
        <f aca="false">IF(ISNUMBER(SEARCH("S3R06",$AD12)),1,0)</f>
        <v>0</v>
      </c>
      <c r="AK12" s="17" t="n">
        <f aca="false">IF(ISNUMBER(SEARCH("R07",$AD12)),1,0)</f>
        <v>0</v>
      </c>
      <c r="AL12" s="17" t="n">
        <f aca="false">IF(ISNUMBER(SEARCH("R09",$AD12)),1,0)</f>
        <v>0</v>
      </c>
      <c r="AM12" s="17" t="n">
        <f aca="false">IF(ISNUMBER(SEARCH("R10",$AD12)),1,0)</f>
        <v>0</v>
      </c>
      <c r="AN12" s="17" t="n">
        <f aca="false">IF(ISNUMBER(SEARCH("S5",$AD12)),1,0)</f>
        <v>1</v>
      </c>
      <c r="AO12" s="17" t="n">
        <f aca="false">IF(ISNUMBER(SEARCH("S6",$AD12)),1,0)</f>
        <v>0</v>
      </c>
      <c r="AP12" s="17" t="n">
        <f aca="false">IF(ISNUMBER(SEARCH("TR",$AD12)),1,0)</f>
        <v>0</v>
      </c>
    </row>
    <row r="13" customFormat="false" ht="34.5" hidden="false" customHeight="true" outlineLevel="0" collapsed="false">
      <c r="A13" s="4" t="s">
        <v>252</v>
      </c>
      <c r="B13" s="4" t="s">
        <v>194</v>
      </c>
      <c r="C13" s="4" t="s">
        <v>242</v>
      </c>
      <c r="D13" s="4" t="s">
        <v>253</v>
      </c>
      <c r="E13" s="4" t="s">
        <v>66</v>
      </c>
      <c r="F13" s="4" t="s">
        <v>197</v>
      </c>
      <c r="G13" s="4" t="s">
        <v>110</v>
      </c>
      <c r="H13" s="4" t="s">
        <v>156</v>
      </c>
      <c r="I13" s="4" t="s">
        <v>68</v>
      </c>
      <c r="J13" s="4" t="s">
        <v>78</v>
      </c>
      <c r="K13" s="4" t="s">
        <v>198</v>
      </c>
      <c r="L13" s="4" t="s">
        <v>48</v>
      </c>
      <c r="M13" s="4" t="s">
        <v>60</v>
      </c>
      <c r="N13" s="4" t="s">
        <v>50</v>
      </c>
      <c r="O13" s="4" t="s">
        <v>254</v>
      </c>
      <c r="P13" s="4" t="s">
        <v>246</v>
      </c>
      <c r="Q13" s="4" t="s">
        <v>51</v>
      </c>
      <c r="R13" s="4" t="s">
        <v>255</v>
      </c>
      <c r="S13" s="16" t="n">
        <f aca="false">IF(ISNUMBER(SEARCH("E0",$H13)),1,0)</f>
        <v>0</v>
      </c>
      <c r="T13" s="16" t="n">
        <f aca="false">IF(ISNUMBER(SEARCH("E1",$H13)),1,0)</f>
        <v>0</v>
      </c>
      <c r="U13" s="16" t="n">
        <f aca="false">IF(ISNUMBER(SEARCH("E2",$H13)),1,0)</f>
        <v>0</v>
      </c>
      <c r="V13" s="16" t="n">
        <f aca="false">IF(ISNUMBER(SEARCH("E3",$H13)),1,0)</f>
        <v>0</v>
      </c>
      <c r="W13" s="16" t="n">
        <f aca="false">IF(ISNUMBER(SEARCH("E4",$H13)),1,0)</f>
        <v>0</v>
      </c>
      <c r="X13" s="16" t="n">
        <f aca="false">IF(ISNUMBER(SEARCH("E5",$H13)),1,0)</f>
        <v>0</v>
      </c>
      <c r="Y13" s="16" t="n">
        <f aca="false">IF(ISNUMBER(SEARCH("E6",$H13)),1,0)</f>
        <v>0</v>
      </c>
      <c r="Z13" s="16" t="n">
        <f aca="false">IF(ISNUMBER(SEARCH("E7",$H13)),1,0)</f>
        <v>0</v>
      </c>
      <c r="AA13" s="16" t="n">
        <f aca="false">IF(ISNUMBER(SEARCH("E8",$H13)),1,0)</f>
        <v>1</v>
      </c>
      <c r="AB13" s="16" t="n">
        <f aca="false">IF(ISNUMBER(SEARCH("E9",$H13)),1,0)</f>
        <v>0</v>
      </c>
      <c r="AC13" s="16" t="n">
        <f aca="false">IF(ISNUMBER(SEARCH("TR",$H13)),1,0)</f>
        <v>0</v>
      </c>
      <c r="AD13" s="10" t="s">
        <v>191</v>
      </c>
      <c r="AE13" s="17" t="n">
        <f aca="false">IF(ISNUMBER(SEARCH("S0",$AD13)),1,0)</f>
        <v>0</v>
      </c>
      <c r="AF13" s="17" t="n">
        <f aca="false">IF(ISNUMBER(SEARCH("R01",$AD13)),1,0)</f>
        <v>0</v>
      </c>
      <c r="AG13" s="17" t="n">
        <f aca="false">IF(ISNUMBER(SEARCH("R02R03",$AD13)),1,0)</f>
        <v>0</v>
      </c>
      <c r="AH13" s="17" t="n">
        <f aca="false">IF(ISNUMBER(SEARCH("R04",$AD13)),1,0)</f>
        <v>0</v>
      </c>
      <c r="AI13" s="17" t="n">
        <f aca="false">IF(ISNUMBER(SEARCH("R05",$AD13)),1,0)</f>
        <v>0</v>
      </c>
      <c r="AJ13" s="17" t="n">
        <f aca="false">IF(ISNUMBER(SEARCH("S3R06",$AD13)),1,0)</f>
        <v>0</v>
      </c>
      <c r="AK13" s="17" t="n">
        <f aca="false">IF(ISNUMBER(SEARCH("R07",$AD13)),1,0)</f>
        <v>0</v>
      </c>
      <c r="AL13" s="17" t="n">
        <f aca="false">IF(ISNUMBER(SEARCH("R09",$AD13)),1,0)</f>
        <v>0</v>
      </c>
      <c r="AM13" s="17" t="n">
        <f aca="false">IF(ISNUMBER(SEARCH("R10",$AD13)),1,0)</f>
        <v>0</v>
      </c>
      <c r="AN13" s="17" t="n">
        <f aca="false">IF(ISNUMBER(SEARCH("S5",$AD13)),1,0)</f>
        <v>1</v>
      </c>
      <c r="AO13" s="17" t="n">
        <f aca="false">IF(ISNUMBER(SEARCH("S6",$AD13)),1,0)</f>
        <v>0</v>
      </c>
      <c r="AP13" s="17" t="n">
        <f aca="false">IF(ISNUMBER(SEARCH("TR",$AD13)),1,0)</f>
        <v>0</v>
      </c>
    </row>
    <row r="14" customFormat="false" ht="23.25" hidden="false" customHeight="true" outlineLevel="0" collapsed="false">
      <c r="A14" s="4" t="s">
        <v>256</v>
      </c>
      <c r="B14" s="4" t="s">
        <v>194</v>
      </c>
      <c r="C14" s="4" t="s">
        <v>242</v>
      </c>
      <c r="D14" s="4" t="s">
        <v>257</v>
      </c>
      <c r="E14" s="4" t="s">
        <v>66</v>
      </c>
      <c r="F14" s="4" t="s">
        <v>197</v>
      </c>
      <c r="G14" s="4" t="s">
        <v>56</v>
      </c>
      <c r="H14" s="4" t="s">
        <v>156</v>
      </c>
      <c r="I14" s="4" t="s">
        <v>77</v>
      </c>
      <c r="J14" s="4" t="s">
        <v>78</v>
      </c>
      <c r="K14" s="4" t="s">
        <v>198</v>
      </c>
      <c r="L14" s="4" t="s">
        <v>95</v>
      </c>
      <c r="M14" s="4" t="s">
        <v>60</v>
      </c>
      <c r="N14" s="4" t="s">
        <v>50</v>
      </c>
      <c r="O14" s="4" t="s">
        <v>258</v>
      </c>
      <c r="P14" s="4" t="s">
        <v>246</v>
      </c>
      <c r="Q14" s="4" t="s">
        <v>51</v>
      </c>
      <c r="R14" s="4" t="s">
        <v>259</v>
      </c>
      <c r="S14" s="16" t="n">
        <f aca="false">IF(ISNUMBER(SEARCH("E0",$H14)),1,0)</f>
        <v>0</v>
      </c>
      <c r="T14" s="16" t="n">
        <f aca="false">IF(ISNUMBER(SEARCH("E1",$H14)),1,0)</f>
        <v>0</v>
      </c>
      <c r="U14" s="16" t="n">
        <f aca="false">IF(ISNUMBER(SEARCH("E2",$H14)),1,0)</f>
        <v>0</v>
      </c>
      <c r="V14" s="16" t="n">
        <f aca="false">IF(ISNUMBER(SEARCH("E3",$H14)),1,0)</f>
        <v>0</v>
      </c>
      <c r="W14" s="16" t="n">
        <f aca="false">IF(ISNUMBER(SEARCH("E4",$H14)),1,0)</f>
        <v>0</v>
      </c>
      <c r="X14" s="16" t="n">
        <f aca="false">IF(ISNUMBER(SEARCH("E5",$H14)),1,0)</f>
        <v>0</v>
      </c>
      <c r="Y14" s="16" t="n">
        <f aca="false">IF(ISNUMBER(SEARCH("E6",$H14)),1,0)</f>
        <v>0</v>
      </c>
      <c r="Z14" s="16" t="n">
        <f aca="false">IF(ISNUMBER(SEARCH("E7",$H14)),1,0)</f>
        <v>0</v>
      </c>
      <c r="AA14" s="16" t="n">
        <f aca="false">IF(ISNUMBER(SEARCH("E8",$H14)),1,0)</f>
        <v>1</v>
      </c>
      <c r="AB14" s="16" t="n">
        <f aca="false">IF(ISNUMBER(SEARCH("E9",$H14)),1,0)</f>
        <v>0</v>
      </c>
      <c r="AC14" s="16" t="n">
        <f aca="false">IF(ISNUMBER(SEARCH("TR",$H14)),1,0)</f>
        <v>0</v>
      </c>
      <c r="AD14" s="10" t="s">
        <v>191</v>
      </c>
      <c r="AE14" s="17" t="n">
        <f aca="false">IF(ISNUMBER(SEARCH("S0",$AD14)),1,0)</f>
        <v>0</v>
      </c>
      <c r="AF14" s="17" t="n">
        <f aca="false">IF(ISNUMBER(SEARCH("R01",$AD14)),1,0)</f>
        <v>0</v>
      </c>
      <c r="AG14" s="17" t="n">
        <f aca="false">IF(ISNUMBER(SEARCH("R02R03",$AD14)),1,0)</f>
        <v>0</v>
      </c>
      <c r="AH14" s="17" t="n">
        <f aca="false">IF(ISNUMBER(SEARCH("R04",$AD14)),1,0)</f>
        <v>0</v>
      </c>
      <c r="AI14" s="17" t="n">
        <f aca="false">IF(ISNUMBER(SEARCH("R05",$AD14)),1,0)</f>
        <v>0</v>
      </c>
      <c r="AJ14" s="17" t="n">
        <f aca="false">IF(ISNUMBER(SEARCH("S3R06",$AD14)),1,0)</f>
        <v>0</v>
      </c>
      <c r="AK14" s="17" t="n">
        <f aca="false">IF(ISNUMBER(SEARCH("R07",$AD14)),1,0)</f>
        <v>0</v>
      </c>
      <c r="AL14" s="17" t="n">
        <f aca="false">IF(ISNUMBER(SEARCH("R09",$AD14)),1,0)</f>
        <v>0</v>
      </c>
      <c r="AM14" s="17" t="n">
        <f aca="false">IF(ISNUMBER(SEARCH("R10",$AD14)),1,0)</f>
        <v>0</v>
      </c>
      <c r="AN14" s="17" t="n">
        <f aca="false">IF(ISNUMBER(SEARCH("S5",$AD14)),1,0)</f>
        <v>1</v>
      </c>
      <c r="AO14" s="17" t="n">
        <f aca="false">IF(ISNUMBER(SEARCH("S6",$AD14)),1,0)</f>
        <v>0</v>
      </c>
      <c r="AP14" s="17" t="n">
        <f aca="false">IF(ISNUMBER(SEARCH("TR",$AD14)),1,0)</f>
        <v>0</v>
      </c>
    </row>
    <row r="15" customFormat="false" ht="34.5" hidden="false" customHeight="true" outlineLevel="0" collapsed="false">
      <c r="A15" s="4" t="s">
        <v>260</v>
      </c>
      <c r="B15" s="4" t="s">
        <v>194</v>
      </c>
      <c r="C15" s="4" t="s">
        <v>242</v>
      </c>
      <c r="D15" s="4" t="s">
        <v>261</v>
      </c>
      <c r="E15" s="4" t="s">
        <v>66</v>
      </c>
      <c r="F15" s="4" t="s">
        <v>197</v>
      </c>
      <c r="G15" s="4" t="s">
        <v>110</v>
      </c>
      <c r="H15" s="4" t="s">
        <v>233</v>
      </c>
      <c r="I15" s="4" t="s">
        <v>118</v>
      </c>
      <c r="J15" s="4" t="s">
        <v>78</v>
      </c>
      <c r="K15" s="4" t="s">
        <v>198</v>
      </c>
      <c r="L15" s="4" t="s">
        <v>48</v>
      </c>
      <c r="M15" s="4" t="s">
        <v>60</v>
      </c>
      <c r="N15" s="4" t="s">
        <v>50</v>
      </c>
      <c r="O15" s="4" t="s">
        <v>262</v>
      </c>
      <c r="P15" s="4" t="s">
        <v>246</v>
      </c>
      <c r="Q15" s="4" t="s">
        <v>51</v>
      </c>
      <c r="R15" s="4" t="s">
        <v>263</v>
      </c>
      <c r="S15" s="16" t="n">
        <f aca="false">IF(ISNUMBER(SEARCH("E0",$H15)),1,0)</f>
        <v>1</v>
      </c>
      <c r="T15" s="16" t="n">
        <f aca="false">IF(ISNUMBER(SEARCH("E1",$H15)),1,0)</f>
        <v>0</v>
      </c>
      <c r="U15" s="16" t="n">
        <f aca="false">IF(ISNUMBER(SEARCH("E2",$H15)),1,0)</f>
        <v>0</v>
      </c>
      <c r="V15" s="16" t="n">
        <f aca="false">IF(ISNUMBER(SEARCH("E3",$H15)),1,0)</f>
        <v>0</v>
      </c>
      <c r="W15" s="16" t="n">
        <f aca="false">IF(ISNUMBER(SEARCH("E4",$H15)),1,0)</f>
        <v>0</v>
      </c>
      <c r="X15" s="16" t="n">
        <f aca="false">IF(ISNUMBER(SEARCH("E5",$H15)),1,0)</f>
        <v>0</v>
      </c>
      <c r="Y15" s="16" t="n">
        <f aca="false">IF(ISNUMBER(SEARCH("E6",$H15)),1,0)</f>
        <v>0</v>
      </c>
      <c r="Z15" s="16" t="n">
        <f aca="false">IF(ISNUMBER(SEARCH("E7",$H15)),1,0)</f>
        <v>0</v>
      </c>
      <c r="AA15" s="16" t="n">
        <f aca="false">IF(ISNUMBER(SEARCH("E8",$H15)),1,0)</f>
        <v>0</v>
      </c>
      <c r="AB15" s="16" t="n">
        <f aca="false">IF(ISNUMBER(SEARCH("E9",$H15)),1,0)</f>
        <v>1</v>
      </c>
      <c r="AC15" s="16" t="n">
        <f aca="false">IF(ISNUMBER(SEARCH("TR",$H15)),1,0)</f>
        <v>0</v>
      </c>
      <c r="AD15" s="10" t="s">
        <v>236</v>
      </c>
      <c r="AE15" s="17" t="n">
        <f aca="false">IF(ISNUMBER(SEARCH("S0",$AD15)),1,0)</f>
        <v>1</v>
      </c>
      <c r="AF15" s="17" t="n">
        <f aca="false">IF(ISNUMBER(SEARCH("R01",$AD15)),1,0)</f>
        <v>0</v>
      </c>
      <c r="AG15" s="17" t="n">
        <f aca="false">IF(ISNUMBER(SEARCH("R02R03",$AD15)),1,0)</f>
        <v>0</v>
      </c>
      <c r="AH15" s="17" t="n">
        <f aca="false">IF(ISNUMBER(SEARCH("R04",$AD15)),1,0)</f>
        <v>0</v>
      </c>
      <c r="AI15" s="17" t="n">
        <f aca="false">IF(ISNUMBER(SEARCH("R05",$AD15)),1,0)</f>
        <v>0</v>
      </c>
      <c r="AJ15" s="17" t="n">
        <f aca="false">IF(ISNUMBER(SEARCH("S3R06",$AD15)),1,0)</f>
        <v>0</v>
      </c>
      <c r="AK15" s="17" t="n">
        <f aca="false">IF(ISNUMBER(SEARCH("R07",$AD15)),1,0)</f>
        <v>0</v>
      </c>
      <c r="AL15" s="17" t="n">
        <f aca="false">IF(ISNUMBER(SEARCH("R09",$AD15)),1,0)</f>
        <v>0</v>
      </c>
      <c r="AM15" s="17" t="n">
        <f aca="false">IF(ISNUMBER(SEARCH("R10",$AD15)),1,0)</f>
        <v>0</v>
      </c>
      <c r="AN15" s="17" t="n">
        <f aca="false">IF(ISNUMBER(SEARCH("S5",$AD15)),1,0)</f>
        <v>0</v>
      </c>
      <c r="AO15" s="17" t="n">
        <f aca="false">IF(ISNUMBER(SEARCH("S6",$AD15)),1,0)</f>
        <v>1</v>
      </c>
      <c r="AP15" s="17" t="n">
        <f aca="false">IF(ISNUMBER(SEARCH("TR",$AD15)),1,0)</f>
        <v>0</v>
      </c>
    </row>
    <row r="16" customFormat="false" ht="34.5" hidden="false" customHeight="true" outlineLevel="0" collapsed="false">
      <c r="A16" s="4" t="s">
        <v>264</v>
      </c>
      <c r="B16" s="4" t="s">
        <v>194</v>
      </c>
      <c r="C16" s="4" t="s">
        <v>242</v>
      </c>
      <c r="D16" s="4" t="s">
        <v>265</v>
      </c>
      <c r="E16" s="4" t="s">
        <v>66</v>
      </c>
      <c r="F16" s="4" t="s">
        <v>197</v>
      </c>
      <c r="G16" s="4" t="s">
        <v>76</v>
      </c>
      <c r="H16" s="4" t="s">
        <v>156</v>
      </c>
      <c r="I16" s="4" t="s">
        <v>77</v>
      </c>
      <c r="J16" s="4" t="s">
        <v>78</v>
      </c>
      <c r="K16" s="4" t="s">
        <v>198</v>
      </c>
      <c r="L16" s="4" t="s">
        <v>48</v>
      </c>
      <c r="M16" s="4" t="s">
        <v>60</v>
      </c>
      <c r="N16" s="4" t="s">
        <v>50</v>
      </c>
      <c r="O16" s="4" t="s">
        <v>266</v>
      </c>
      <c r="P16" s="4" t="s">
        <v>246</v>
      </c>
      <c r="Q16" s="4" t="s">
        <v>51</v>
      </c>
      <c r="R16" s="4" t="s">
        <v>267</v>
      </c>
      <c r="S16" s="16" t="n">
        <f aca="false">IF(ISNUMBER(SEARCH("E0",$H16)),1,0)</f>
        <v>0</v>
      </c>
      <c r="T16" s="16" t="n">
        <f aca="false">IF(ISNUMBER(SEARCH("E1",$H16)),1,0)</f>
        <v>0</v>
      </c>
      <c r="U16" s="16" t="n">
        <f aca="false">IF(ISNUMBER(SEARCH("E2",$H16)),1,0)</f>
        <v>0</v>
      </c>
      <c r="V16" s="16" t="n">
        <f aca="false">IF(ISNUMBER(SEARCH("E3",$H16)),1,0)</f>
        <v>0</v>
      </c>
      <c r="W16" s="16" t="n">
        <f aca="false">IF(ISNUMBER(SEARCH("E4",$H16)),1,0)</f>
        <v>0</v>
      </c>
      <c r="X16" s="16" t="n">
        <f aca="false">IF(ISNUMBER(SEARCH("E5",$H16)),1,0)</f>
        <v>0</v>
      </c>
      <c r="Y16" s="16" t="n">
        <f aca="false">IF(ISNUMBER(SEARCH("E6",$H16)),1,0)</f>
        <v>0</v>
      </c>
      <c r="Z16" s="16" t="n">
        <f aca="false">IF(ISNUMBER(SEARCH("E7",$H16)),1,0)</f>
        <v>0</v>
      </c>
      <c r="AA16" s="16" t="n">
        <f aca="false">IF(ISNUMBER(SEARCH("E8",$H16)),1,0)</f>
        <v>1</v>
      </c>
      <c r="AB16" s="16" t="n">
        <f aca="false">IF(ISNUMBER(SEARCH("E9",$H16)),1,0)</f>
        <v>0</v>
      </c>
      <c r="AC16" s="16" t="n">
        <f aca="false">IF(ISNUMBER(SEARCH("TR",$H16)),1,0)</f>
        <v>0</v>
      </c>
      <c r="AD16" s="10" t="s">
        <v>191</v>
      </c>
      <c r="AE16" s="17" t="n">
        <f aca="false">IF(ISNUMBER(SEARCH("S0",$AD16)),1,0)</f>
        <v>0</v>
      </c>
      <c r="AF16" s="17" t="n">
        <f aca="false">IF(ISNUMBER(SEARCH("R01",$AD16)),1,0)</f>
        <v>0</v>
      </c>
      <c r="AG16" s="17" t="n">
        <f aca="false">IF(ISNUMBER(SEARCH("R02R03",$AD16)),1,0)</f>
        <v>0</v>
      </c>
      <c r="AH16" s="17" t="n">
        <f aca="false">IF(ISNUMBER(SEARCH("R04",$AD16)),1,0)</f>
        <v>0</v>
      </c>
      <c r="AI16" s="17" t="n">
        <f aca="false">IF(ISNUMBER(SEARCH("R05",$AD16)),1,0)</f>
        <v>0</v>
      </c>
      <c r="AJ16" s="17" t="n">
        <f aca="false">IF(ISNUMBER(SEARCH("S3R06",$AD16)),1,0)</f>
        <v>0</v>
      </c>
      <c r="AK16" s="17" t="n">
        <f aca="false">IF(ISNUMBER(SEARCH("R07",$AD16)),1,0)</f>
        <v>0</v>
      </c>
      <c r="AL16" s="17" t="n">
        <f aca="false">IF(ISNUMBER(SEARCH("R09",$AD16)),1,0)</f>
        <v>0</v>
      </c>
      <c r="AM16" s="17" t="n">
        <f aca="false">IF(ISNUMBER(SEARCH("R10",$AD16)),1,0)</f>
        <v>0</v>
      </c>
      <c r="AN16" s="17" t="n">
        <f aca="false">IF(ISNUMBER(SEARCH("S5",$AD16)),1,0)</f>
        <v>1</v>
      </c>
      <c r="AO16" s="17" t="n">
        <f aca="false">IF(ISNUMBER(SEARCH("S6",$AD16)),1,0)</f>
        <v>0</v>
      </c>
      <c r="AP16" s="17" t="n">
        <f aca="false">IF(ISNUMBER(SEARCH("TR",$AD16)),1,0)</f>
        <v>0</v>
      </c>
    </row>
    <row r="17" customFormat="false" ht="45.75" hidden="false" customHeight="true" outlineLevel="0" collapsed="false">
      <c r="A17" s="4" t="s">
        <v>268</v>
      </c>
      <c r="B17" s="4" t="s">
        <v>194</v>
      </c>
      <c r="C17" s="4" t="s">
        <v>242</v>
      </c>
      <c r="D17" s="4" t="s">
        <v>269</v>
      </c>
      <c r="E17" s="4" t="s">
        <v>66</v>
      </c>
      <c r="F17" s="4" t="s">
        <v>197</v>
      </c>
      <c r="G17" s="4" t="s">
        <v>84</v>
      </c>
      <c r="H17" s="4" t="s">
        <v>156</v>
      </c>
      <c r="I17" s="4" t="s">
        <v>77</v>
      </c>
      <c r="J17" s="4" t="s">
        <v>69</v>
      </c>
      <c r="K17" s="4" t="s">
        <v>270</v>
      </c>
      <c r="L17" s="4" t="s">
        <v>48</v>
      </c>
      <c r="M17" s="4" t="s">
        <v>60</v>
      </c>
      <c r="N17" s="4" t="s">
        <v>50</v>
      </c>
      <c r="O17" s="4" t="s">
        <v>271</v>
      </c>
      <c r="P17" s="4" t="s">
        <v>246</v>
      </c>
      <c r="Q17" s="4" t="s">
        <v>51</v>
      </c>
      <c r="R17" s="4"/>
      <c r="S17" s="16" t="n">
        <f aca="false">IF(ISNUMBER(SEARCH("E0",$H17)),1,0)</f>
        <v>0</v>
      </c>
      <c r="T17" s="16" t="n">
        <f aca="false">IF(ISNUMBER(SEARCH("E1",$H17)),1,0)</f>
        <v>0</v>
      </c>
      <c r="U17" s="16" t="n">
        <f aca="false">IF(ISNUMBER(SEARCH("E2",$H17)),1,0)</f>
        <v>0</v>
      </c>
      <c r="V17" s="16" t="n">
        <f aca="false">IF(ISNUMBER(SEARCH("E3",$H17)),1,0)</f>
        <v>0</v>
      </c>
      <c r="W17" s="16" t="n">
        <f aca="false">IF(ISNUMBER(SEARCH("E4",$H17)),1,0)</f>
        <v>0</v>
      </c>
      <c r="X17" s="16" t="n">
        <f aca="false">IF(ISNUMBER(SEARCH("E5",$H17)),1,0)</f>
        <v>0</v>
      </c>
      <c r="Y17" s="16" t="n">
        <f aca="false">IF(ISNUMBER(SEARCH("E6",$H17)),1,0)</f>
        <v>0</v>
      </c>
      <c r="Z17" s="16" t="n">
        <f aca="false">IF(ISNUMBER(SEARCH("E7",$H17)),1,0)</f>
        <v>0</v>
      </c>
      <c r="AA17" s="16" t="n">
        <f aca="false">IF(ISNUMBER(SEARCH("E8",$H17)),1,0)</f>
        <v>1</v>
      </c>
      <c r="AB17" s="16" t="n">
        <f aca="false">IF(ISNUMBER(SEARCH("E9",$H17)),1,0)</f>
        <v>0</v>
      </c>
      <c r="AC17" s="16" t="n">
        <f aca="false">IF(ISNUMBER(SEARCH("TR",$H17)),1,0)</f>
        <v>0</v>
      </c>
      <c r="AD17" s="10" t="s">
        <v>191</v>
      </c>
      <c r="AE17" s="17" t="n">
        <f aca="false">IF(ISNUMBER(SEARCH("S0",$AD17)),1,0)</f>
        <v>0</v>
      </c>
      <c r="AF17" s="17" t="n">
        <f aca="false">IF(ISNUMBER(SEARCH("R01",$AD17)),1,0)</f>
        <v>0</v>
      </c>
      <c r="AG17" s="17" t="n">
        <f aca="false">IF(ISNUMBER(SEARCH("R02R03",$AD17)),1,0)</f>
        <v>0</v>
      </c>
      <c r="AH17" s="17" t="n">
        <f aca="false">IF(ISNUMBER(SEARCH("R04",$AD17)),1,0)</f>
        <v>0</v>
      </c>
      <c r="AI17" s="17" t="n">
        <f aca="false">IF(ISNUMBER(SEARCH("R05",$AD17)),1,0)</f>
        <v>0</v>
      </c>
      <c r="AJ17" s="17" t="n">
        <f aca="false">IF(ISNUMBER(SEARCH("S3R06",$AD17)),1,0)</f>
        <v>0</v>
      </c>
      <c r="AK17" s="17" t="n">
        <f aca="false">IF(ISNUMBER(SEARCH("R07",$AD17)),1,0)</f>
        <v>0</v>
      </c>
      <c r="AL17" s="17" t="n">
        <f aca="false">IF(ISNUMBER(SEARCH("R09",$AD17)),1,0)</f>
        <v>0</v>
      </c>
      <c r="AM17" s="17" t="n">
        <f aca="false">IF(ISNUMBER(SEARCH("R10",$AD17)),1,0)</f>
        <v>0</v>
      </c>
      <c r="AN17" s="17" t="n">
        <f aca="false">IF(ISNUMBER(SEARCH("S5",$AD17)),1,0)</f>
        <v>1</v>
      </c>
      <c r="AO17" s="17" t="n">
        <f aca="false">IF(ISNUMBER(SEARCH("S6",$AD17)),1,0)</f>
        <v>0</v>
      </c>
      <c r="AP17" s="17" t="n">
        <f aca="false">IF(ISNUMBER(SEARCH("TR",$AD17)),1,0)</f>
        <v>0</v>
      </c>
    </row>
    <row r="18" customFormat="false" ht="45.75" hidden="false" customHeight="true" outlineLevel="0" collapsed="false">
      <c r="A18" s="4" t="s">
        <v>272</v>
      </c>
      <c r="B18" s="4" t="s">
        <v>194</v>
      </c>
      <c r="C18" s="4" t="s">
        <v>242</v>
      </c>
      <c r="D18" s="4" t="s">
        <v>273</v>
      </c>
      <c r="E18" s="4" t="s">
        <v>66</v>
      </c>
      <c r="F18" s="4" t="s">
        <v>197</v>
      </c>
      <c r="G18" s="4" t="s">
        <v>76</v>
      </c>
      <c r="H18" s="4" t="s">
        <v>156</v>
      </c>
      <c r="I18" s="4" t="s">
        <v>77</v>
      </c>
      <c r="J18" s="4" t="s">
        <v>107</v>
      </c>
      <c r="K18" s="4" t="s">
        <v>274</v>
      </c>
      <c r="L18" s="4" t="s">
        <v>48</v>
      </c>
      <c r="M18" s="4" t="s">
        <v>60</v>
      </c>
      <c r="N18" s="4" t="s">
        <v>50</v>
      </c>
      <c r="O18" s="4" t="s">
        <v>275</v>
      </c>
      <c r="P18" s="4" t="s">
        <v>246</v>
      </c>
      <c r="Q18" s="4" t="s">
        <v>51</v>
      </c>
      <c r="R18" s="4" t="s">
        <v>276</v>
      </c>
      <c r="S18" s="16" t="n">
        <f aca="false">IF(ISNUMBER(SEARCH("E0",$H18)),1,0)</f>
        <v>0</v>
      </c>
      <c r="T18" s="16" t="n">
        <f aca="false">IF(ISNUMBER(SEARCH("E1",$H18)),1,0)</f>
        <v>0</v>
      </c>
      <c r="U18" s="16" t="n">
        <f aca="false">IF(ISNUMBER(SEARCH("E2",$H18)),1,0)</f>
        <v>0</v>
      </c>
      <c r="V18" s="16" t="n">
        <f aca="false">IF(ISNUMBER(SEARCH("E3",$H18)),1,0)</f>
        <v>0</v>
      </c>
      <c r="W18" s="16" t="n">
        <f aca="false">IF(ISNUMBER(SEARCH("E4",$H18)),1,0)</f>
        <v>0</v>
      </c>
      <c r="X18" s="16" t="n">
        <f aca="false">IF(ISNUMBER(SEARCH("E5",$H18)),1,0)</f>
        <v>0</v>
      </c>
      <c r="Y18" s="16" t="n">
        <f aca="false">IF(ISNUMBER(SEARCH("E6",$H18)),1,0)</f>
        <v>0</v>
      </c>
      <c r="Z18" s="16" t="n">
        <f aca="false">IF(ISNUMBER(SEARCH("E7",$H18)),1,0)</f>
        <v>0</v>
      </c>
      <c r="AA18" s="16" t="n">
        <f aca="false">IF(ISNUMBER(SEARCH("E8",$H18)),1,0)</f>
        <v>1</v>
      </c>
      <c r="AB18" s="16" t="n">
        <f aca="false">IF(ISNUMBER(SEARCH("E9",$H18)),1,0)</f>
        <v>0</v>
      </c>
      <c r="AC18" s="16" t="n">
        <f aca="false">IF(ISNUMBER(SEARCH("TR",$H18)),1,0)</f>
        <v>0</v>
      </c>
      <c r="AD18" s="10" t="s">
        <v>191</v>
      </c>
      <c r="AE18" s="17" t="n">
        <f aca="false">IF(ISNUMBER(SEARCH("S0",$AD18)),1,0)</f>
        <v>0</v>
      </c>
      <c r="AF18" s="17" t="n">
        <f aca="false">IF(ISNUMBER(SEARCH("R01",$AD18)),1,0)</f>
        <v>0</v>
      </c>
      <c r="AG18" s="17" t="n">
        <f aca="false">IF(ISNUMBER(SEARCH("R02R03",$AD18)),1,0)</f>
        <v>0</v>
      </c>
      <c r="AH18" s="17" t="n">
        <f aca="false">IF(ISNUMBER(SEARCH("R04",$AD18)),1,0)</f>
        <v>0</v>
      </c>
      <c r="AI18" s="17" t="n">
        <f aca="false">IF(ISNUMBER(SEARCH("R05",$AD18)),1,0)</f>
        <v>0</v>
      </c>
      <c r="AJ18" s="17" t="n">
        <f aca="false">IF(ISNUMBER(SEARCH("S3R06",$AD18)),1,0)</f>
        <v>0</v>
      </c>
      <c r="AK18" s="17" t="n">
        <f aca="false">IF(ISNUMBER(SEARCH("R07",$AD18)),1,0)</f>
        <v>0</v>
      </c>
      <c r="AL18" s="17" t="n">
        <f aca="false">IF(ISNUMBER(SEARCH("R09",$AD18)),1,0)</f>
        <v>0</v>
      </c>
      <c r="AM18" s="17" t="n">
        <f aca="false">IF(ISNUMBER(SEARCH("R10",$AD18)),1,0)</f>
        <v>0</v>
      </c>
      <c r="AN18" s="17" t="n">
        <f aca="false">IF(ISNUMBER(SEARCH("S5",$AD18)),1,0)</f>
        <v>1</v>
      </c>
      <c r="AO18" s="17" t="n">
        <f aca="false">IF(ISNUMBER(SEARCH("S6",$AD18)),1,0)</f>
        <v>0</v>
      </c>
      <c r="AP18" s="17" t="n">
        <f aca="false">IF(ISNUMBER(SEARCH("TR",$AD18)),1,0)</f>
        <v>0</v>
      </c>
    </row>
    <row r="19" customFormat="false" ht="34.5" hidden="false" customHeight="true" outlineLevel="0" collapsed="false">
      <c r="A19" s="4" t="s">
        <v>277</v>
      </c>
      <c r="B19" s="4" t="s">
        <v>194</v>
      </c>
      <c r="C19" s="4" t="s">
        <v>242</v>
      </c>
      <c r="D19" s="4" t="s">
        <v>278</v>
      </c>
      <c r="E19" s="4" t="s">
        <v>66</v>
      </c>
      <c r="F19" s="4" t="s">
        <v>197</v>
      </c>
      <c r="G19" s="4" t="s">
        <v>76</v>
      </c>
      <c r="H19" s="4" t="s">
        <v>161</v>
      </c>
      <c r="I19" s="4" t="s">
        <v>93</v>
      </c>
      <c r="J19" s="4" t="s">
        <v>69</v>
      </c>
      <c r="K19" s="4" t="s">
        <v>198</v>
      </c>
      <c r="L19" s="4" t="s">
        <v>48</v>
      </c>
      <c r="M19" s="4" t="s">
        <v>60</v>
      </c>
      <c r="N19" s="4" t="s">
        <v>61</v>
      </c>
      <c r="O19" s="4" t="s">
        <v>279</v>
      </c>
      <c r="P19" s="4" t="s">
        <v>246</v>
      </c>
      <c r="Q19" s="4" t="s">
        <v>51</v>
      </c>
      <c r="R19" s="4" t="s">
        <v>280</v>
      </c>
      <c r="S19" s="16" t="n">
        <f aca="false">IF(ISNUMBER(SEARCH("E0",$H19)),1,0)</f>
        <v>0</v>
      </c>
      <c r="T19" s="16" t="n">
        <f aca="false">IF(ISNUMBER(SEARCH("E1",$H19)),1,0)</f>
        <v>0</v>
      </c>
      <c r="U19" s="16" t="n">
        <f aca="false">IF(ISNUMBER(SEARCH("E2",$H19)),1,0)</f>
        <v>0</v>
      </c>
      <c r="V19" s="16" t="n">
        <f aca="false">IF(ISNUMBER(SEARCH("E3",$H19)),1,0)</f>
        <v>0</v>
      </c>
      <c r="W19" s="16" t="n">
        <f aca="false">IF(ISNUMBER(SEARCH("E4",$H19)),1,0)</f>
        <v>0</v>
      </c>
      <c r="X19" s="16" t="n">
        <f aca="false">IF(ISNUMBER(SEARCH("E5",$H19)),1,0)</f>
        <v>0</v>
      </c>
      <c r="Y19" s="16" t="n">
        <f aca="false">IF(ISNUMBER(SEARCH("E6",$H19)),1,0)</f>
        <v>0</v>
      </c>
      <c r="Z19" s="16" t="n">
        <f aca="false">IF(ISNUMBER(SEARCH("E7",$H19)),1,0)</f>
        <v>0</v>
      </c>
      <c r="AA19" s="16" t="n">
        <f aca="false">IF(ISNUMBER(SEARCH("E8",$H19)),1,0)</f>
        <v>0</v>
      </c>
      <c r="AB19" s="16" t="n">
        <f aca="false">IF(ISNUMBER(SEARCH("E9",$H19)),1,0)</f>
        <v>0</v>
      </c>
      <c r="AC19" s="16" t="n">
        <f aca="false">IF(ISNUMBER(SEARCH("TR",$H19)),1,0)</f>
        <v>1</v>
      </c>
      <c r="AD19" s="10" t="s">
        <v>161</v>
      </c>
      <c r="AE19" s="17" t="n">
        <f aca="false">IF(ISNUMBER(SEARCH("S0",$AD19)),1,0)</f>
        <v>0</v>
      </c>
      <c r="AF19" s="17" t="n">
        <f aca="false">IF(ISNUMBER(SEARCH("R01",$AD19)),1,0)</f>
        <v>0</v>
      </c>
      <c r="AG19" s="17" t="n">
        <f aca="false">IF(ISNUMBER(SEARCH("R02R03",$AD19)),1,0)</f>
        <v>0</v>
      </c>
      <c r="AH19" s="17" t="n">
        <f aca="false">IF(ISNUMBER(SEARCH("R04",$AD19)),1,0)</f>
        <v>0</v>
      </c>
      <c r="AI19" s="17" t="n">
        <f aca="false">IF(ISNUMBER(SEARCH("R05",$AD19)),1,0)</f>
        <v>0</v>
      </c>
      <c r="AJ19" s="17" t="n">
        <f aca="false">IF(ISNUMBER(SEARCH("S3R06",$AD19)),1,0)</f>
        <v>0</v>
      </c>
      <c r="AK19" s="17" t="n">
        <f aca="false">IF(ISNUMBER(SEARCH("R07",$AD19)),1,0)</f>
        <v>0</v>
      </c>
      <c r="AL19" s="17" t="n">
        <f aca="false">IF(ISNUMBER(SEARCH("R09",$AD19)),1,0)</f>
        <v>0</v>
      </c>
      <c r="AM19" s="17" t="n">
        <f aca="false">IF(ISNUMBER(SEARCH("R10",$AD19)),1,0)</f>
        <v>0</v>
      </c>
      <c r="AN19" s="17" t="n">
        <f aca="false">IF(ISNUMBER(SEARCH("S5",$AD19)),1,0)</f>
        <v>0</v>
      </c>
      <c r="AO19" s="17" t="n">
        <f aca="false">IF(ISNUMBER(SEARCH("S6",$AD19)),1,0)</f>
        <v>0</v>
      </c>
      <c r="AP19" s="17" t="n">
        <f aca="false">IF(ISNUMBER(SEARCH("TR",$AD19)),1,0)</f>
        <v>1</v>
      </c>
    </row>
    <row r="20" customFormat="false" ht="34.5" hidden="false" customHeight="true" outlineLevel="0" collapsed="false">
      <c r="A20" s="4" t="s">
        <v>281</v>
      </c>
      <c r="B20" s="4" t="s">
        <v>194</v>
      </c>
      <c r="C20" s="4" t="s">
        <v>242</v>
      </c>
      <c r="D20" s="4" t="s">
        <v>282</v>
      </c>
      <c r="E20" s="4" t="s">
        <v>66</v>
      </c>
      <c r="F20" s="4" t="s">
        <v>197</v>
      </c>
      <c r="G20" s="4" t="s">
        <v>76</v>
      </c>
      <c r="H20" s="4" t="s">
        <v>161</v>
      </c>
      <c r="I20" s="4" t="s">
        <v>93</v>
      </c>
      <c r="J20" s="4" t="s">
        <v>69</v>
      </c>
      <c r="K20" s="4" t="s">
        <v>198</v>
      </c>
      <c r="L20" s="4" t="s">
        <v>48</v>
      </c>
      <c r="M20" s="4" t="s">
        <v>60</v>
      </c>
      <c r="N20" s="4" t="s">
        <v>50</v>
      </c>
      <c r="O20" s="4" t="s">
        <v>283</v>
      </c>
      <c r="P20" s="4" t="s">
        <v>246</v>
      </c>
      <c r="Q20" s="4" t="s">
        <v>51</v>
      </c>
      <c r="R20" s="4" t="s">
        <v>284</v>
      </c>
      <c r="S20" s="16" t="n">
        <f aca="false">IF(ISNUMBER(SEARCH("E0",$H20)),1,0)</f>
        <v>0</v>
      </c>
      <c r="T20" s="16" t="n">
        <f aca="false">IF(ISNUMBER(SEARCH("E1",$H20)),1,0)</f>
        <v>0</v>
      </c>
      <c r="U20" s="16" t="n">
        <f aca="false">IF(ISNUMBER(SEARCH("E2",$H20)),1,0)</f>
        <v>0</v>
      </c>
      <c r="V20" s="16" t="n">
        <f aca="false">IF(ISNUMBER(SEARCH("E3",$H20)),1,0)</f>
        <v>0</v>
      </c>
      <c r="W20" s="16" t="n">
        <f aca="false">IF(ISNUMBER(SEARCH("E4",$H20)),1,0)</f>
        <v>0</v>
      </c>
      <c r="X20" s="16" t="n">
        <f aca="false">IF(ISNUMBER(SEARCH("E5",$H20)),1,0)</f>
        <v>0</v>
      </c>
      <c r="Y20" s="16" t="n">
        <f aca="false">IF(ISNUMBER(SEARCH("E6",$H20)),1,0)</f>
        <v>0</v>
      </c>
      <c r="Z20" s="16" t="n">
        <f aca="false">IF(ISNUMBER(SEARCH("E7",$H20)),1,0)</f>
        <v>0</v>
      </c>
      <c r="AA20" s="16" t="n">
        <f aca="false">IF(ISNUMBER(SEARCH("E8",$H20)),1,0)</f>
        <v>0</v>
      </c>
      <c r="AB20" s="16" t="n">
        <f aca="false">IF(ISNUMBER(SEARCH("E9",$H20)),1,0)</f>
        <v>0</v>
      </c>
      <c r="AC20" s="16" t="n">
        <f aca="false">IF(ISNUMBER(SEARCH("TR",$H20)),1,0)</f>
        <v>1</v>
      </c>
      <c r="AD20" s="10" t="s">
        <v>161</v>
      </c>
      <c r="AE20" s="17" t="n">
        <f aca="false">IF(ISNUMBER(SEARCH("S0",$AD20)),1,0)</f>
        <v>0</v>
      </c>
      <c r="AF20" s="17" t="n">
        <f aca="false">IF(ISNUMBER(SEARCH("R01",$AD20)),1,0)</f>
        <v>0</v>
      </c>
      <c r="AG20" s="17" t="n">
        <f aca="false">IF(ISNUMBER(SEARCH("R02R03",$AD20)),1,0)</f>
        <v>0</v>
      </c>
      <c r="AH20" s="17" t="n">
        <f aca="false">IF(ISNUMBER(SEARCH("R04",$AD20)),1,0)</f>
        <v>0</v>
      </c>
      <c r="AI20" s="17" t="n">
        <f aca="false">IF(ISNUMBER(SEARCH("R05",$AD20)),1,0)</f>
        <v>0</v>
      </c>
      <c r="AJ20" s="17" t="n">
        <f aca="false">IF(ISNUMBER(SEARCH("S3R06",$AD20)),1,0)</f>
        <v>0</v>
      </c>
      <c r="AK20" s="17" t="n">
        <f aca="false">IF(ISNUMBER(SEARCH("R07",$AD20)),1,0)</f>
        <v>0</v>
      </c>
      <c r="AL20" s="17" t="n">
        <f aca="false">IF(ISNUMBER(SEARCH("R09",$AD20)),1,0)</f>
        <v>0</v>
      </c>
      <c r="AM20" s="17" t="n">
        <f aca="false">IF(ISNUMBER(SEARCH("R10",$AD20)),1,0)</f>
        <v>0</v>
      </c>
      <c r="AN20" s="17" t="n">
        <f aca="false">IF(ISNUMBER(SEARCH("S5",$AD20)),1,0)</f>
        <v>0</v>
      </c>
      <c r="AO20" s="17" t="n">
        <f aca="false">IF(ISNUMBER(SEARCH("S6",$AD20)),1,0)</f>
        <v>0</v>
      </c>
      <c r="AP20" s="17" t="n">
        <f aca="false">IF(ISNUMBER(SEARCH("TR",$AD20)),1,0)</f>
        <v>1</v>
      </c>
    </row>
    <row r="21" customFormat="false" ht="57" hidden="false" customHeight="true" outlineLevel="0" collapsed="false">
      <c r="A21" s="4" t="s">
        <v>285</v>
      </c>
      <c r="B21" s="4" t="s">
        <v>194</v>
      </c>
      <c r="C21" s="4" t="s">
        <v>286</v>
      </c>
      <c r="D21" s="4" t="s">
        <v>287</v>
      </c>
      <c r="E21" s="4" t="s">
        <v>75</v>
      </c>
      <c r="F21" s="4" t="s">
        <v>197</v>
      </c>
      <c r="G21" s="4" t="s">
        <v>76</v>
      </c>
      <c r="H21" s="4" t="s">
        <v>161</v>
      </c>
      <c r="I21" s="4" t="s">
        <v>93</v>
      </c>
      <c r="J21" s="4" t="s">
        <v>78</v>
      </c>
      <c r="K21" s="4" t="s">
        <v>198</v>
      </c>
      <c r="L21" s="4" t="s">
        <v>48</v>
      </c>
      <c r="M21" s="4" t="s">
        <v>60</v>
      </c>
      <c r="N21" s="4" t="s">
        <v>50</v>
      </c>
      <c r="O21" s="4" t="s">
        <v>288</v>
      </c>
      <c r="P21" s="4" t="s">
        <v>289</v>
      </c>
      <c r="Q21" s="4" t="s">
        <v>51</v>
      </c>
      <c r="R21" s="4" t="s">
        <v>290</v>
      </c>
      <c r="S21" s="16" t="n">
        <f aca="false">IF(ISNUMBER(SEARCH("E0",$H21)),1,0)</f>
        <v>0</v>
      </c>
      <c r="T21" s="16" t="n">
        <f aca="false">IF(ISNUMBER(SEARCH("E1",$H21)),1,0)</f>
        <v>0</v>
      </c>
      <c r="U21" s="16" t="n">
        <f aca="false">IF(ISNUMBER(SEARCH("E2",$H21)),1,0)</f>
        <v>0</v>
      </c>
      <c r="V21" s="16" t="n">
        <f aca="false">IF(ISNUMBER(SEARCH("E3",$H21)),1,0)</f>
        <v>0</v>
      </c>
      <c r="W21" s="16" t="n">
        <f aca="false">IF(ISNUMBER(SEARCH("E4",$H21)),1,0)</f>
        <v>0</v>
      </c>
      <c r="X21" s="16" t="n">
        <f aca="false">IF(ISNUMBER(SEARCH("E5",$H21)),1,0)</f>
        <v>0</v>
      </c>
      <c r="Y21" s="16" t="n">
        <f aca="false">IF(ISNUMBER(SEARCH("E6",$H21)),1,0)</f>
        <v>0</v>
      </c>
      <c r="Z21" s="16" t="n">
        <f aca="false">IF(ISNUMBER(SEARCH("E7",$H21)),1,0)</f>
        <v>0</v>
      </c>
      <c r="AA21" s="16" t="n">
        <f aca="false">IF(ISNUMBER(SEARCH("E8",$H21)),1,0)</f>
        <v>0</v>
      </c>
      <c r="AB21" s="16" t="n">
        <f aca="false">IF(ISNUMBER(SEARCH("E9",$H21)),1,0)</f>
        <v>0</v>
      </c>
      <c r="AC21" s="16" t="n">
        <f aca="false">IF(ISNUMBER(SEARCH("TR",$H21)),1,0)</f>
        <v>1</v>
      </c>
      <c r="AD21" s="10" t="s">
        <v>161</v>
      </c>
      <c r="AE21" s="17" t="n">
        <f aca="false">IF(ISNUMBER(SEARCH("S0",$AD21)),1,0)</f>
        <v>0</v>
      </c>
      <c r="AF21" s="17" t="n">
        <f aca="false">IF(ISNUMBER(SEARCH("R01",$AD21)),1,0)</f>
        <v>0</v>
      </c>
      <c r="AG21" s="17" t="n">
        <f aca="false">IF(ISNUMBER(SEARCH("R02R03",$AD21)),1,0)</f>
        <v>0</v>
      </c>
      <c r="AH21" s="17" t="n">
        <f aca="false">IF(ISNUMBER(SEARCH("R04",$AD21)),1,0)</f>
        <v>0</v>
      </c>
      <c r="AI21" s="17" t="n">
        <f aca="false">IF(ISNUMBER(SEARCH("R05",$AD21)),1,0)</f>
        <v>0</v>
      </c>
      <c r="AJ21" s="17" t="n">
        <f aca="false">IF(ISNUMBER(SEARCH("S3R06",$AD21)),1,0)</f>
        <v>0</v>
      </c>
      <c r="AK21" s="17" t="n">
        <f aca="false">IF(ISNUMBER(SEARCH("R07",$AD21)),1,0)</f>
        <v>0</v>
      </c>
      <c r="AL21" s="17" t="n">
        <f aca="false">IF(ISNUMBER(SEARCH("R09",$AD21)),1,0)</f>
        <v>0</v>
      </c>
      <c r="AM21" s="17" t="n">
        <f aca="false">IF(ISNUMBER(SEARCH("R10",$AD21)),1,0)</f>
        <v>0</v>
      </c>
      <c r="AN21" s="17" t="n">
        <f aca="false">IF(ISNUMBER(SEARCH("S5",$AD21)),1,0)</f>
        <v>0</v>
      </c>
      <c r="AO21" s="17" t="n">
        <f aca="false">IF(ISNUMBER(SEARCH("S6",$AD21)),1,0)</f>
        <v>0</v>
      </c>
      <c r="AP21" s="17" t="n">
        <f aca="false">IF(ISNUMBER(SEARCH("TR",$AD21)),1,0)</f>
        <v>1</v>
      </c>
    </row>
    <row r="22" customFormat="false" ht="45.75" hidden="false" customHeight="true" outlineLevel="0" collapsed="false">
      <c r="A22" s="4" t="s">
        <v>291</v>
      </c>
      <c r="B22" s="4" t="s">
        <v>194</v>
      </c>
      <c r="C22" s="4" t="s">
        <v>292</v>
      </c>
      <c r="D22" s="4" t="s">
        <v>293</v>
      </c>
      <c r="E22" s="4" t="s">
        <v>75</v>
      </c>
      <c r="F22" s="4" t="s">
        <v>197</v>
      </c>
      <c r="G22" s="4" t="s">
        <v>76</v>
      </c>
      <c r="H22" s="4" t="s">
        <v>204</v>
      </c>
      <c r="I22" s="4" t="s">
        <v>77</v>
      </c>
      <c r="J22" s="4" t="s">
        <v>78</v>
      </c>
      <c r="K22" s="4" t="s">
        <v>294</v>
      </c>
      <c r="L22" s="4" t="s">
        <v>48</v>
      </c>
      <c r="M22" s="4" t="s">
        <v>60</v>
      </c>
      <c r="N22" s="4" t="s">
        <v>50</v>
      </c>
      <c r="O22" s="4" t="s">
        <v>295</v>
      </c>
      <c r="P22" s="4" t="s">
        <v>296</v>
      </c>
      <c r="Q22" s="4" t="s">
        <v>51</v>
      </c>
      <c r="R22" s="4" t="s">
        <v>297</v>
      </c>
      <c r="S22" s="16" t="n">
        <f aca="false">IF(ISNUMBER(SEARCH("E0",$H22)),1,0)</f>
        <v>0</v>
      </c>
      <c r="T22" s="16" t="n">
        <f aca="false">IF(ISNUMBER(SEARCH("E1",$H22)),1,0)</f>
        <v>0</v>
      </c>
      <c r="U22" s="16" t="n">
        <f aca="false">IF(ISNUMBER(SEARCH("E2",$H22)),1,0)</f>
        <v>0</v>
      </c>
      <c r="V22" s="16" t="n">
        <f aca="false">IF(ISNUMBER(SEARCH("E3",$H22)),1,0)</f>
        <v>0</v>
      </c>
      <c r="W22" s="16" t="n">
        <f aca="false">IF(ISNUMBER(SEARCH("E4",$H22)),1,0)</f>
        <v>0</v>
      </c>
      <c r="X22" s="16" t="n">
        <f aca="false">IF(ISNUMBER(SEARCH("E5",$H22)),1,0)</f>
        <v>0</v>
      </c>
      <c r="Y22" s="16" t="n">
        <f aca="false">IF(ISNUMBER(SEARCH("E6",$H22)),1,0)</f>
        <v>0</v>
      </c>
      <c r="Z22" s="16" t="n">
        <f aca="false">IF(ISNUMBER(SEARCH("E7",$H22)),1,0)</f>
        <v>0</v>
      </c>
      <c r="AA22" s="16" t="n">
        <f aca="false">IF(ISNUMBER(SEARCH("E8",$H22)),1,0)</f>
        <v>1</v>
      </c>
      <c r="AB22" s="16" t="n">
        <f aca="false">IF(ISNUMBER(SEARCH("E9",$H22)),1,0)</f>
        <v>1</v>
      </c>
      <c r="AC22" s="16" t="n">
        <f aca="false">IF(ISNUMBER(SEARCH("TR",$H22)),1,0)</f>
        <v>0</v>
      </c>
      <c r="AD22" s="10" t="s">
        <v>208</v>
      </c>
      <c r="AE22" s="17" t="n">
        <f aca="false">IF(ISNUMBER(SEARCH("S0",$AD22)),1,0)</f>
        <v>0</v>
      </c>
      <c r="AF22" s="17" t="n">
        <f aca="false">IF(ISNUMBER(SEARCH("R01",$AD22)),1,0)</f>
        <v>0</v>
      </c>
      <c r="AG22" s="17" t="n">
        <f aca="false">IF(ISNUMBER(SEARCH("R02R03",$AD22)),1,0)</f>
        <v>0</v>
      </c>
      <c r="AH22" s="17" t="n">
        <f aca="false">IF(ISNUMBER(SEARCH("R04",$AD22)),1,0)</f>
        <v>0</v>
      </c>
      <c r="AI22" s="17" t="n">
        <f aca="false">IF(ISNUMBER(SEARCH("R05",$AD22)),1,0)</f>
        <v>0</v>
      </c>
      <c r="AJ22" s="17" t="n">
        <f aca="false">IF(ISNUMBER(SEARCH("S3R06",$AD22)),1,0)</f>
        <v>0</v>
      </c>
      <c r="AK22" s="17" t="n">
        <f aca="false">IF(ISNUMBER(SEARCH("R07",$AD22)),1,0)</f>
        <v>0</v>
      </c>
      <c r="AL22" s="17" t="n">
        <f aca="false">IF(ISNUMBER(SEARCH("R09",$AD22)),1,0)</f>
        <v>0</v>
      </c>
      <c r="AM22" s="17" t="n">
        <f aca="false">IF(ISNUMBER(SEARCH("R10",$AD22)),1,0)</f>
        <v>0</v>
      </c>
      <c r="AN22" s="17" t="n">
        <f aca="false">IF(ISNUMBER(SEARCH("S5",$AD22)),1,0)</f>
        <v>1</v>
      </c>
      <c r="AO22" s="17" t="n">
        <f aca="false">IF(ISNUMBER(SEARCH("S6",$AD22)),1,0)</f>
        <v>1</v>
      </c>
      <c r="AP22" s="17" t="n">
        <f aca="false">IF(ISNUMBER(SEARCH("TR",$AD22)),1,0)</f>
        <v>0</v>
      </c>
    </row>
    <row r="23" customFormat="false" ht="34.5" hidden="false" customHeight="true" outlineLevel="0" collapsed="false">
      <c r="A23" s="4" t="s">
        <v>298</v>
      </c>
      <c r="B23" s="4" t="s">
        <v>194</v>
      </c>
      <c r="C23" s="4" t="s">
        <v>292</v>
      </c>
      <c r="D23" s="4" t="s">
        <v>299</v>
      </c>
      <c r="E23" s="4" t="s">
        <v>75</v>
      </c>
      <c r="F23" s="4" t="s">
        <v>197</v>
      </c>
      <c r="G23" s="4" t="s">
        <v>76</v>
      </c>
      <c r="H23" s="4" t="s">
        <v>156</v>
      </c>
      <c r="I23" s="4" t="s">
        <v>77</v>
      </c>
      <c r="J23" s="4" t="s">
        <v>107</v>
      </c>
      <c r="K23" s="4" t="s">
        <v>300</v>
      </c>
      <c r="L23" s="4" t="s">
        <v>48</v>
      </c>
      <c r="M23" s="4" t="s">
        <v>60</v>
      </c>
      <c r="N23" s="4" t="s">
        <v>50</v>
      </c>
      <c r="O23" s="4" t="s">
        <v>301</v>
      </c>
      <c r="P23" s="4" t="s">
        <v>296</v>
      </c>
      <c r="Q23" s="4" t="s">
        <v>51</v>
      </c>
      <c r="R23" s="4"/>
      <c r="S23" s="16" t="n">
        <f aca="false">IF(ISNUMBER(SEARCH("E0",$H23)),1,0)</f>
        <v>0</v>
      </c>
      <c r="T23" s="16" t="n">
        <f aca="false">IF(ISNUMBER(SEARCH("E1",$H23)),1,0)</f>
        <v>0</v>
      </c>
      <c r="U23" s="16" t="n">
        <f aca="false">IF(ISNUMBER(SEARCH("E2",$H23)),1,0)</f>
        <v>0</v>
      </c>
      <c r="V23" s="16" t="n">
        <f aca="false">IF(ISNUMBER(SEARCH("E3",$H23)),1,0)</f>
        <v>0</v>
      </c>
      <c r="W23" s="16" t="n">
        <f aca="false">IF(ISNUMBER(SEARCH("E4",$H23)),1,0)</f>
        <v>0</v>
      </c>
      <c r="X23" s="16" t="n">
        <f aca="false">IF(ISNUMBER(SEARCH("E5",$H23)),1,0)</f>
        <v>0</v>
      </c>
      <c r="Y23" s="16" t="n">
        <f aca="false">IF(ISNUMBER(SEARCH("E6",$H23)),1,0)</f>
        <v>0</v>
      </c>
      <c r="Z23" s="16" t="n">
        <f aca="false">IF(ISNUMBER(SEARCH("E7",$H23)),1,0)</f>
        <v>0</v>
      </c>
      <c r="AA23" s="16" t="n">
        <f aca="false">IF(ISNUMBER(SEARCH("E8",$H23)),1,0)</f>
        <v>1</v>
      </c>
      <c r="AB23" s="16" t="n">
        <f aca="false">IF(ISNUMBER(SEARCH("E9",$H23)),1,0)</f>
        <v>0</v>
      </c>
      <c r="AC23" s="16" t="n">
        <f aca="false">IF(ISNUMBER(SEARCH("TR",$H23)),1,0)</f>
        <v>0</v>
      </c>
      <c r="AD23" s="10" t="s">
        <v>191</v>
      </c>
      <c r="AE23" s="17" t="n">
        <f aca="false">IF(ISNUMBER(SEARCH("S0",$AD23)),1,0)</f>
        <v>0</v>
      </c>
      <c r="AF23" s="17" t="n">
        <f aca="false">IF(ISNUMBER(SEARCH("R01",$AD23)),1,0)</f>
        <v>0</v>
      </c>
      <c r="AG23" s="17" t="n">
        <f aca="false">IF(ISNUMBER(SEARCH("R02R03",$AD23)),1,0)</f>
        <v>0</v>
      </c>
      <c r="AH23" s="17" t="n">
        <f aca="false">IF(ISNUMBER(SEARCH("R04",$AD23)),1,0)</f>
        <v>0</v>
      </c>
      <c r="AI23" s="17" t="n">
        <f aca="false">IF(ISNUMBER(SEARCH("R05",$AD23)),1,0)</f>
        <v>0</v>
      </c>
      <c r="AJ23" s="17" t="n">
        <f aca="false">IF(ISNUMBER(SEARCH("S3R06",$AD23)),1,0)</f>
        <v>0</v>
      </c>
      <c r="AK23" s="17" t="n">
        <f aca="false">IF(ISNUMBER(SEARCH("R07",$AD23)),1,0)</f>
        <v>0</v>
      </c>
      <c r="AL23" s="17" t="n">
        <f aca="false">IF(ISNUMBER(SEARCH("R09",$AD23)),1,0)</f>
        <v>0</v>
      </c>
      <c r="AM23" s="17" t="n">
        <f aca="false">IF(ISNUMBER(SEARCH("R10",$AD23)),1,0)</f>
        <v>0</v>
      </c>
      <c r="AN23" s="17" t="n">
        <f aca="false">IF(ISNUMBER(SEARCH("S5",$AD23)),1,0)</f>
        <v>1</v>
      </c>
      <c r="AO23" s="17" t="n">
        <f aca="false">IF(ISNUMBER(SEARCH("S6",$AD23)),1,0)</f>
        <v>0</v>
      </c>
      <c r="AP23" s="17" t="n">
        <f aca="false">IF(ISNUMBER(SEARCH("TR",$AD23)),1,0)</f>
        <v>0</v>
      </c>
    </row>
    <row r="24" customFormat="false" ht="34.5" hidden="false" customHeight="true" outlineLevel="0" collapsed="false">
      <c r="A24" s="4" t="s">
        <v>302</v>
      </c>
      <c r="B24" s="4" t="s">
        <v>194</v>
      </c>
      <c r="C24" s="4" t="s">
        <v>292</v>
      </c>
      <c r="D24" s="4" t="s">
        <v>303</v>
      </c>
      <c r="E24" s="4" t="s">
        <v>75</v>
      </c>
      <c r="F24" s="4" t="s">
        <v>197</v>
      </c>
      <c r="G24" s="4" t="s">
        <v>76</v>
      </c>
      <c r="H24" s="4" t="s">
        <v>304</v>
      </c>
      <c r="I24" s="4" t="s">
        <v>93</v>
      </c>
      <c r="J24" s="4" t="s">
        <v>78</v>
      </c>
      <c r="K24" s="4" t="s">
        <v>305</v>
      </c>
      <c r="L24" s="4" t="s">
        <v>48</v>
      </c>
      <c r="M24" s="4" t="s">
        <v>60</v>
      </c>
      <c r="N24" s="4" t="s">
        <v>61</v>
      </c>
      <c r="O24" s="4" t="s">
        <v>306</v>
      </c>
      <c r="P24" s="4" t="s">
        <v>296</v>
      </c>
      <c r="Q24" s="4" t="s">
        <v>51</v>
      </c>
      <c r="R24" s="4" t="s">
        <v>307</v>
      </c>
      <c r="S24" s="16" t="n">
        <f aca="false">IF(ISNUMBER(SEARCH("E0",$H24)),1,0)</f>
        <v>0</v>
      </c>
      <c r="T24" s="16" t="n">
        <f aca="false">IF(ISNUMBER(SEARCH("E1",$H24)),1,0)</f>
        <v>0</v>
      </c>
      <c r="U24" s="16" t="n">
        <f aca="false">IF(ISNUMBER(SEARCH("E2",$H24)),1,0)</f>
        <v>0</v>
      </c>
      <c r="V24" s="16" t="n">
        <f aca="false">IF(ISNUMBER(SEARCH("E3",$H24)),1,0)</f>
        <v>0</v>
      </c>
      <c r="W24" s="16" t="n">
        <f aca="false">IF(ISNUMBER(SEARCH("E4",$H24)),1,0)</f>
        <v>0</v>
      </c>
      <c r="X24" s="16" t="n">
        <f aca="false">IF(ISNUMBER(SEARCH("E5",$H24)),1,0)</f>
        <v>0</v>
      </c>
      <c r="Y24" s="16" t="n">
        <f aca="false">IF(ISNUMBER(SEARCH("E6",$H24)),1,0)</f>
        <v>0</v>
      </c>
      <c r="Z24" s="16" t="n">
        <f aca="false">IF(ISNUMBER(SEARCH("E7",$H24)),1,0)</f>
        <v>0</v>
      </c>
      <c r="AA24" s="16" t="n">
        <f aca="false">IF(ISNUMBER(SEARCH("E8",$H24)),1,0)</f>
        <v>0</v>
      </c>
      <c r="AB24" s="16" t="n">
        <f aca="false">IF(ISNUMBER(SEARCH("E9",$H24)),1,0)</f>
        <v>1</v>
      </c>
      <c r="AC24" s="16" t="n">
        <f aca="false">IF(ISNUMBER(SEARCH("TR",$H24)),1,0)</f>
        <v>1</v>
      </c>
      <c r="AD24" s="10" t="s">
        <v>308</v>
      </c>
      <c r="AE24" s="17" t="n">
        <f aca="false">IF(ISNUMBER(SEARCH("S0",$AD24)),1,0)</f>
        <v>0</v>
      </c>
      <c r="AF24" s="17" t="n">
        <f aca="false">IF(ISNUMBER(SEARCH("R01",$AD24)),1,0)</f>
        <v>0</v>
      </c>
      <c r="AG24" s="17" t="n">
        <f aca="false">IF(ISNUMBER(SEARCH("R02R03",$AD24)),1,0)</f>
        <v>0</v>
      </c>
      <c r="AH24" s="17" t="n">
        <f aca="false">IF(ISNUMBER(SEARCH("R04",$AD24)),1,0)</f>
        <v>0</v>
      </c>
      <c r="AI24" s="17" t="n">
        <f aca="false">IF(ISNUMBER(SEARCH("R05",$AD24)),1,0)</f>
        <v>0</v>
      </c>
      <c r="AJ24" s="17" t="n">
        <f aca="false">IF(ISNUMBER(SEARCH("S3R06",$AD24)),1,0)</f>
        <v>0</v>
      </c>
      <c r="AK24" s="17" t="n">
        <f aca="false">IF(ISNUMBER(SEARCH("R07",$AD24)),1,0)</f>
        <v>0</v>
      </c>
      <c r="AL24" s="17" t="n">
        <f aca="false">IF(ISNUMBER(SEARCH("R09",$AD24)),1,0)</f>
        <v>0</v>
      </c>
      <c r="AM24" s="17" t="n">
        <f aca="false">IF(ISNUMBER(SEARCH("R10",$AD24)),1,0)</f>
        <v>0</v>
      </c>
      <c r="AN24" s="17" t="n">
        <f aca="false">IF(ISNUMBER(SEARCH("S5",$AD24)),1,0)</f>
        <v>0</v>
      </c>
      <c r="AO24" s="17" t="n">
        <f aca="false">IF(ISNUMBER(SEARCH("S6",$AD24)),1,0)</f>
        <v>1</v>
      </c>
      <c r="AP24" s="17" t="n">
        <f aca="false">IF(ISNUMBER(SEARCH("TR",$AD24)),1,0)</f>
        <v>1</v>
      </c>
    </row>
    <row r="25" customFormat="false" ht="34.5" hidden="false" customHeight="true" outlineLevel="0" collapsed="false">
      <c r="A25" s="4" t="s">
        <v>309</v>
      </c>
      <c r="B25" s="4" t="s">
        <v>194</v>
      </c>
      <c r="C25" s="4" t="s">
        <v>292</v>
      </c>
      <c r="D25" s="4" t="s">
        <v>310</v>
      </c>
      <c r="E25" s="4" t="s">
        <v>75</v>
      </c>
      <c r="F25" s="4" t="s">
        <v>197</v>
      </c>
      <c r="G25" s="4" t="s">
        <v>56</v>
      </c>
      <c r="H25" s="4" t="s">
        <v>204</v>
      </c>
      <c r="I25" s="4" t="s">
        <v>118</v>
      </c>
      <c r="J25" s="4" t="s">
        <v>78</v>
      </c>
      <c r="K25" s="4" t="s">
        <v>311</v>
      </c>
      <c r="L25" s="4" t="s">
        <v>95</v>
      </c>
      <c r="M25" s="4" t="s">
        <v>60</v>
      </c>
      <c r="N25" s="4" t="s">
        <v>50</v>
      </c>
      <c r="O25" s="4" t="s">
        <v>312</v>
      </c>
      <c r="P25" s="4" t="s">
        <v>296</v>
      </c>
      <c r="Q25" s="4" t="s">
        <v>51</v>
      </c>
      <c r="R25" s="4" t="s">
        <v>313</v>
      </c>
      <c r="S25" s="16" t="n">
        <f aca="false">IF(ISNUMBER(SEARCH("E0",$H25)),1,0)</f>
        <v>0</v>
      </c>
      <c r="T25" s="16" t="n">
        <f aca="false">IF(ISNUMBER(SEARCH("E1",$H25)),1,0)</f>
        <v>0</v>
      </c>
      <c r="U25" s="16" t="n">
        <f aca="false">IF(ISNUMBER(SEARCH("E2",$H25)),1,0)</f>
        <v>0</v>
      </c>
      <c r="V25" s="16" t="n">
        <f aca="false">IF(ISNUMBER(SEARCH("E3",$H25)),1,0)</f>
        <v>0</v>
      </c>
      <c r="W25" s="16" t="n">
        <f aca="false">IF(ISNUMBER(SEARCH("E4",$H25)),1,0)</f>
        <v>0</v>
      </c>
      <c r="X25" s="16" t="n">
        <f aca="false">IF(ISNUMBER(SEARCH("E5",$H25)),1,0)</f>
        <v>0</v>
      </c>
      <c r="Y25" s="16" t="n">
        <f aca="false">IF(ISNUMBER(SEARCH("E6",$H25)),1,0)</f>
        <v>0</v>
      </c>
      <c r="Z25" s="16" t="n">
        <f aca="false">IF(ISNUMBER(SEARCH("E7",$H25)),1,0)</f>
        <v>0</v>
      </c>
      <c r="AA25" s="16" t="n">
        <f aca="false">IF(ISNUMBER(SEARCH("E8",$H25)),1,0)</f>
        <v>1</v>
      </c>
      <c r="AB25" s="16" t="n">
        <f aca="false">IF(ISNUMBER(SEARCH("E9",$H25)),1,0)</f>
        <v>1</v>
      </c>
      <c r="AC25" s="16" t="n">
        <f aca="false">IF(ISNUMBER(SEARCH("TR",$H25)),1,0)</f>
        <v>0</v>
      </c>
      <c r="AD25" s="10" t="s">
        <v>208</v>
      </c>
      <c r="AE25" s="17" t="n">
        <f aca="false">IF(ISNUMBER(SEARCH("S0",$AD25)),1,0)</f>
        <v>0</v>
      </c>
      <c r="AF25" s="17" t="n">
        <f aca="false">IF(ISNUMBER(SEARCH("R01",$AD25)),1,0)</f>
        <v>0</v>
      </c>
      <c r="AG25" s="17" t="n">
        <f aca="false">IF(ISNUMBER(SEARCH("R02R03",$AD25)),1,0)</f>
        <v>0</v>
      </c>
      <c r="AH25" s="17" t="n">
        <f aca="false">IF(ISNUMBER(SEARCH("R04",$AD25)),1,0)</f>
        <v>0</v>
      </c>
      <c r="AI25" s="17" t="n">
        <f aca="false">IF(ISNUMBER(SEARCH("R05",$AD25)),1,0)</f>
        <v>0</v>
      </c>
      <c r="AJ25" s="17" t="n">
        <f aca="false">IF(ISNUMBER(SEARCH("S3R06",$AD25)),1,0)</f>
        <v>0</v>
      </c>
      <c r="AK25" s="17" t="n">
        <f aca="false">IF(ISNUMBER(SEARCH("R07",$AD25)),1,0)</f>
        <v>0</v>
      </c>
      <c r="AL25" s="17" t="n">
        <f aca="false">IF(ISNUMBER(SEARCH("R09",$AD25)),1,0)</f>
        <v>0</v>
      </c>
      <c r="AM25" s="17" t="n">
        <f aca="false">IF(ISNUMBER(SEARCH("R10",$AD25)),1,0)</f>
        <v>0</v>
      </c>
      <c r="AN25" s="17" t="n">
        <f aca="false">IF(ISNUMBER(SEARCH("S5",$AD25)),1,0)</f>
        <v>1</v>
      </c>
      <c r="AO25" s="17" t="n">
        <f aca="false">IF(ISNUMBER(SEARCH("S6",$AD25)),1,0)</f>
        <v>1</v>
      </c>
      <c r="AP25" s="17" t="n">
        <f aca="false">IF(ISNUMBER(SEARCH("TR",$AD25)),1,0)</f>
        <v>0</v>
      </c>
    </row>
    <row r="26" customFormat="false" ht="68.25" hidden="false" customHeight="true" outlineLevel="0" collapsed="false">
      <c r="A26" s="4" t="s">
        <v>314</v>
      </c>
      <c r="B26" s="4" t="s">
        <v>315</v>
      </c>
      <c r="C26" s="4" t="s">
        <v>316</v>
      </c>
      <c r="D26" s="4" t="s">
        <v>317</v>
      </c>
      <c r="E26" s="4" t="s">
        <v>75</v>
      </c>
      <c r="F26" s="4" t="s">
        <v>197</v>
      </c>
      <c r="G26" s="4" t="s">
        <v>76</v>
      </c>
      <c r="H26" s="4" t="s">
        <v>156</v>
      </c>
      <c r="I26" s="4" t="s">
        <v>77</v>
      </c>
      <c r="J26" s="4" t="s">
        <v>107</v>
      </c>
      <c r="K26" s="4" t="s">
        <v>198</v>
      </c>
      <c r="L26" s="4" t="s">
        <v>48</v>
      </c>
      <c r="M26" s="4" t="s">
        <v>49</v>
      </c>
      <c r="N26" s="4" t="s">
        <v>61</v>
      </c>
      <c r="O26" s="4" t="s">
        <v>318</v>
      </c>
      <c r="P26" s="4" t="s">
        <v>319</v>
      </c>
      <c r="Q26" s="4" t="s">
        <v>51</v>
      </c>
      <c r="R26" s="4" t="s">
        <v>320</v>
      </c>
      <c r="S26" s="16" t="n">
        <f aca="false">IF(ISNUMBER(SEARCH("E0",$H26)),1,0)</f>
        <v>0</v>
      </c>
      <c r="T26" s="16" t="n">
        <f aca="false">IF(ISNUMBER(SEARCH("E1",$H26)),1,0)</f>
        <v>0</v>
      </c>
      <c r="U26" s="16" t="n">
        <f aca="false">IF(ISNUMBER(SEARCH("E2",$H26)),1,0)</f>
        <v>0</v>
      </c>
      <c r="V26" s="16" t="n">
        <f aca="false">IF(ISNUMBER(SEARCH("E3",$H26)),1,0)</f>
        <v>0</v>
      </c>
      <c r="W26" s="16" t="n">
        <f aca="false">IF(ISNUMBER(SEARCH("E4",$H26)),1,0)</f>
        <v>0</v>
      </c>
      <c r="X26" s="16" t="n">
        <f aca="false">IF(ISNUMBER(SEARCH("E5",$H26)),1,0)</f>
        <v>0</v>
      </c>
      <c r="Y26" s="16" t="n">
        <f aca="false">IF(ISNUMBER(SEARCH("E6",$H26)),1,0)</f>
        <v>0</v>
      </c>
      <c r="Z26" s="16" t="n">
        <f aca="false">IF(ISNUMBER(SEARCH("E7",$H26)),1,0)</f>
        <v>0</v>
      </c>
      <c r="AA26" s="16" t="n">
        <f aca="false">IF(ISNUMBER(SEARCH("E8",$H26)),1,0)</f>
        <v>1</v>
      </c>
      <c r="AB26" s="16" t="n">
        <f aca="false">IF(ISNUMBER(SEARCH("E9",$H26)),1,0)</f>
        <v>0</v>
      </c>
      <c r="AC26" s="16" t="n">
        <f aca="false">IF(ISNUMBER(SEARCH("TR",$H26)),1,0)</f>
        <v>0</v>
      </c>
      <c r="AD26" s="10" t="s">
        <v>191</v>
      </c>
      <c r="AE26" s="17" t="n">
        <f aca="false">IF(ISNUMBER(SEARCH("S0",$AD26)),1,0)</f>
        <v>0</v>
      </c>
      <c r="AF26" s="17" t="n">
        <f aca="false">IF(ISNUMBER(SEARCH("R01",$AD26)),1,0)</f>
        <v>0</v>
      </c>
      <c r="AG26" s="17" t="n">
        <f aca="false">IF(ISNUMBER(SEARCH("R02R03",$AD26)),1,0)</f>
        <v>0</v>
      </c>
      <c r="AH26" s="17" t="n">
        <f aca="false">IF(ISNUMBER(SEARCH("R04",$AD26)),1,0)</f>
        <v>0</v>
      </c>
      <c r="AI26" s="17" t="n">
        <f aca="false">IF(ISNUMBER(SEARCH("R05",$AD26)),1,0)</f>
        <v>0</v>
      </c>
      <c r="AJ26" s="17" t="n">
        <f aca="false">IF(ISNUMBER(SEARCH("S3R06",$AD26)),1,0)</f>
        <v>0</v>
      </c>
      <c r="AK26" s="17" t="n">
        <f aca="false">IF(ISNUMBER(SEARCH("R07",$AD26)),1,0)</f>
        <v>0</v>
      </c>
      <c r="AL26" s="17" t="n">
        <f aca="false">IF(ISNUMBER(SEARCH("R09",$AD26)),1,0)</f>
        <v>0</v>
      </c>
      <c r="AM26" s="17" t="n">
        <f aca="false">IF(ISNUMBER(SEARCH("R10",$AD26)),1,0)</f>
        <v>0</v>
      </c>
      <c r="AN26" s="17" t="n">
        <f aca="false">IF(ISNUMBER(SEARCH("S5",$AD26)),1,0)</f>
        <v>1</v>
      </c>
      <c r="AO26" s="17" t="n">
        <f aca="false">IF(ISNUMBER(SEARCH("S6",$AD26)),1,0)</f>
        <v>0</v>
      </c>
      <c r="AP26" s="17" t="n">
        <f aca="false">IF(ISNUMBER(SEARCH("TR",$AD26)),1,0)</f>
        <v>0</v>
      </c>
    </row>
    <row r="27" customFormat="false" ht="34.5" hidden="false" customHeight="true" outlineLevel="0" collapsed="false">
      <c r="A27" s="4" t="s">
        <v>321</v>
      </c>
      <c r="B27" s="4" t="s">
        <v>315</v>
      </c>
      <c r="C27" s="4" t="s">
        <v>316</v>
      </c>
      <c r="D27" s="4" t="s">
        <v>322</v>
      </c>
      <c r="E27" s="4" t="s">
        <v>75</v>
      </c>
      <c r="F27" s="4" t="s">
        <v>197</v>
      </c>
      <c r="G27" s="4" t="s">
        <v>45</v>
      </c>
      <c r="H27" s="4" t="s">
        <v>156</v>
      </c>
      <c r="I27" s="4" t="s">
        <v>77</v>
      </c>
      <c r="J27" s="4" t="s">
        <v>107</v>
      </c>
      <c r="K27" s="4" t="s">
        <v>323</v>
      </c>
      <c r="L27" s="4" t="s">
        <v>95</v>
      </c>
      <c r="M27" s="4" t="s">
        <v>49</v>
      </c>
      <c r="N27" s="4" t="s">
        <v>61</v>
      </c>
      <c r="O27" s="4" t="s">
        <v>324</v>
      </c>
      <c r="P27" s="4" t="s">
        <v>319</v>
      </c>
      <c r="Q27" s="4" t="s">
        <v>51</v>
      </c>
      <c r="R27" s="4" t="s">
        <v>325</v>
      </c>
      <c r="S27" s="16" t="n">
        <f aca="false">IF(ISNUMBER(SEARCH("E0",$H27)),1,0)</f>
        <v>0</v>
      </c>
      <c r="T27" s="16" t="n">
        <f aca="false">IF(ISNUMBER(SEARCH("E1",$H27)),1,0)</f>
        <v>0</v>
      </c>
      <c r="U27" s="16" t="n">
        <f aca="false">IF(ISNUMBER(SEARCH("E2",$H27)),1,0)</f>
        <v>0</v>
      </c>
      <c r="V27" s="16" t="n">
        <f aca="false">IF(ISNUMBER(SEARCH("E3",$H27)),1,0)</f>
        <v>0</v>
      </c>
      <c r="W27" s="16" t="n">
        <f aca="false">IF(ISNUMBER(SEARCH("E4",$H27)),1,0)</f>
        <v>0</v>
      </c>
      <c r="X27" s="16" t="n">
        <f aca="false">IF(ISNUMBER(SEARCH("E5",$H27)),1,0)</f>
        <v>0</v>
      </c>
      <c r="Y27" s="16" t="n">
        <f aca="false">IF(ISNUMBER(SEARCH("E6",$H27)),1,0)</f>
        <v>0</v>
      </c>
      <c r="Z27" s="16" t="n">
        <f aca="false">IF(ISNUMBER(SEARCH("E7",$H27)),1,0)</f>
        <v>0</v>
      </c>
      <c r="AA27" s="16" t="n">
        <f aca="false">IF(ISNUMBER(SEARCH("E8",$H27)),1,0)</f>
        <v>1</v>
      </c>
      <c r="AB27" s="16" t="n">
        <f aca="false">IF(ISNUMBER(SEARCH("E9",$H27)),1,0)</f>
        <v>0</v>
      </c>
      <c r="AC27" s="16" t="n">
        <f aca="false">IF(ISNUMBER(SEARCH("TR",$H27)),1,0)</f>
        <v>0</v>
      </c>
      <c r="AD27" s="10" t="s">
        <v>191</v>
      </c>
      <c r="AE27" s="17" t="n">
        <f aca="false">IF(ISNUMBER(SEARCH("S0",$AD27)),1,0)</f>
        <v>0</v>
      </c>
      <c r="AF27" s="17" t="n">
        <f aca="false">IF(ISNUMBER(SEARCH("R01",$AD27)),1,0)</f>
        <v>0</v>
      </c>
      <c r="AG27" s="17" t="n">
        <f aca="false">IF(ISNUMBER(SEARCH("R02R03",$AD27)),1,0)</f>
        <v>0</v>
      </c>
      <c r="AH27" s="17" t="n">
        <f aca="false">IF(ISNUMBER(SEARCH("R04",$AD27)),1,0)</f>
        <v>0</v>
      </c>
      <c r="AI27" s="17" t="n">
        <f aca="false">IF(ISNUMBER(SEARCH("R05",$AD27)),1,0)</f>
        <v>0</v>
      </c>
      <c r="AJ27" s="17" t="n">
        <f aca="false">IF(ISNUMBER(SEARCH("S3R06",$AD27)),1,0)</f>
        <v>0</v>
      </c>
      <c r="AK27" s="17" t="n">
        <f aca="false">IF(ISNUMBER(SEARCH("R07",$AD27)),1,0)</f>
        <v>0</v>
      </c>
      <c r="AL27" s="17" t="n">
        <f aca="false">IF(ISNUMBER(SEARCH("R09",$AD27)),1,0)</f>
        <v>0</v>
      </c>
      <c r="AM27" s="17" t="n">
        <f aca="false">IF(ISNUMBER(SEARCH("R10",$AD27)),1,0)</f>
        <v>0</v>
      </c>
      <c r="AN27" s="17" t="n">
        <f aca="false">IF(ISNUMBER(SEARCH("S5",$AD27)),1,0)</f>
        <v>1</v>
      </c>
      <c r="AO27" s="17" t="n">
        <f aca="false">IF(ISNUMBER(SEARCH("S6",$AD27)),1,0)</f>
        <v>0</v>
      </c>
      <c r="AP27" s="17" t="n">
        <f aca="false">IF(ISNUMBER(SEARCH("TR",$AD27)),1,0)</f>
        <v>0</v>
      </c>
    </row>
    <row r="28" customFormat="false" ht="45.75" hidden="false" customHeight="true" outlineLevel="0" collapsed="false">
      <c r="A28" s="4" t="s">
        <v>326</v>
      </c>
      <c r="B28" s="4" t="s">
        <v>315</v>
      </c>
      <c r="C28" s="4" t="s">
        <v>327</v>
      </c>
      <c r="D28" s="4" t="s">
        <v>328</v>
      </c>
      <c r="E28" s="4" t="s">
        <v>75</v>
      </c>
      <c r="F28" s="4" t="s">
        <v>197</v>
      </c>
      <c r="G28" s="4" t="s">
        <v>76</v>
      </c>
      <c r="H28" s="4" t="s">
        <v>139</v>
      </c>
      <c r="I28" s="4" t="s">
        <v>93</v>
      </c>
      <c r="J28" s="4" t="s">
        <v>69</v>
      </c>
      <c r="K28" s="4" t="s">
        <v>329</v>
      </c>
      <c r="L28" s="4" t="s">
        <v>48</v>
      </c>
      <c r="M28" s="4" t="s">
        <v>49</v>
      </c>
      <c r="N28" s="4" t="s">
        <v>50</v>
      </c>
      <c r="O28" s="4" t="s">
        <v>330</v>
      </c>
      <c r="P28" s="4" t="s">
        <v>331</v>
      </c>
      <c r="Q28" s="4" t="s">
        <v>51</v>
      </c>
      <c r="R28" s="4" t="s">
        <v>332</v>
      </c>
      <c r="S28" s="16" t="n">
        <f aca="false">IF(ISNUMBER(SEARCH("E0",$H28)),1,0)</f>
        <v>1</v>
      </c>
      <c r="T28" s="16" t="n">
        <f aca="false">IF(ISNUMBER(SEARCH("E1",$H28)),1,0)</f>
        <v>0</v>
      </c>
      <c r="U28" s="16" t="n">
        <f aca="false">IF(ISNUMBER(SEARCH("E2",$H28)),1,0)</f>
        <v>0</v>
      </c>
      <c r="V28" s="16" t="n">
        <f aca="false">IF(ISNUMBER(SEARCH("E3",$H28)),1,0)</f>
        <v>0</v>
      </c>
      <c r="W28" s="16" t="n">
        <f aca="false">IF(ISNUMBER(SEARCH("E4",$H28)),1,0)</f>
        <v>0</v>
      </c>
      <c r="X28" s="16" t="n">
        <f aca="false">IF(ISNUMBER(SEARCH("E5",$H28)),1,0)</f>
        <v>0</v>
      </c>
      <c r="Y28" s="16" t="n">
        <f aca="false">IF(ISNUMBER(SEARCH("E6",$H28)),1,0)</f>
        <v>0</v>
      </c>
      <c r="Z28" s="16" t="n">
        <f aca="false">IF(ISNUMBER(SEARCH("E7",$H28)),1,0)</f>
        <v>0</v>
      </c>
      <c r="AA28" s="16" t="n">
        <f aca="false">IF(ISNUMBER(SEARCH("E8",$H28)),1,0)</f>
        <v>0</v>
      </c>
      <c r="AB28" s="16" t="n">
        <f aca="false">IF(ISNUMBER(SEARCH("E9",$H28)),1,0)</f>
        <v>0</v>
      </c>
      <c r="AC28" s="16" t="n">
        <f aca="false">IF(ISNUMBER(SEARCH("TR",$H28)),1,0)</f>
        <v>0</v>
      </c>
      <c r="AD28" s="10" t="s">
        <v>182</v>
      </c>
      <c r="AE28" s="17" t="n">
        <f aca="false">IF(ISNUMBER(SEARCH("S0",$AD28)),1,0)</f>
        <v>1</v>
      </c>
      <c r="AF28" s="17" t="n">
        <f aca="false">IF(ISNUMBER(SEARCH("R01",$AD28)),1,0)</f>
        <v>0</v>
      </c>
      <c r="AG28" s="17" t="n">
        <f aca="false">IF(ISNUMBER(SEARCH("R02R03",$AD28)),1,0)</f>
        <v>0</v>
      </c>
      <c r="AH28" s="17" t="n">
        <f aca="false">IF(ISNUMBER(SEARCH("R04",$AD28)),1,0)</f>
        <v>0</v>
      </c>
      <c r="AI28" s="17" t="n">
        <f aca="false">IF(ISNUMBER(SEARCH("R05",$AD28)),1,0)</f>
        <v>0</v>
      </c>
      <c r="AJ28" s="17" t="n">
        <f aca="false">IF(ISNUMBER(SEARCH("S3R06",$AD28)),1,0)</f>
        <v>0</v>
      </c>
      <c r="AK28" s="17" t="n">
        <f aca="false">IF(ISNUMBER(SEARCH("R07",$AD28)),1,0)</f>
        <v>0</v>
      </c>
      <c r="AL28" s="17" t="n">
        <f aca="false">IF(ISNUMBER(SEARCH("R09",$AD28)),1,0)</f>
        <v>0</v>
      </c>
      <c r="AM28" s="17" t="n">
        <f aca="false">IF(ISNUMBER(SEARCH("R10",$AD28)),1,0)</f>
        <v>0</v>
      </c>
      <c r="AN28" s="17" t="n">
        <f aca="false">IF(ISNUMBER(SEARCH("S5",$AD28)),1,0)</f>
        <v>0</v>
      </c>
      <c r="AO28" s="17" t="n">
        <f aca="false">IF(ISNUMBER(SEARCH("S6",$AD28)),1,0)</f>
        <v>0</v>
      </c>
      <c r="AP28" s="17" t="n">
        <f aca="false">IF(ISNUMBER(SEARCH("TR",$AD28)),1,0)</f>
        <v>0</v>
      </c>
    </row>
    <row r="29" customFormat="false" ht="34.5" hidden="false" customHeight="true" outlineLevel="0" collapsed="false">
      <c r="A29" s="4" t="s">
        <v>333</v>
      </c>
      <c r="B29" s="4" t="s">
        <v>315</v>
      </c>
      <c r="C29" s="4" t="s">
        <v>327</v>
      </c>
      <c r="D29" s="4" t="s">
        <v>310</v>
      </c>
      <c r="E29" s="4" t="s">
        <v>75</v>
      </c>
      <c r="F29" s="4" t="s">
        <v>197</v>
      </c>
      <c r="G29" s="4" t="s">
        <v>76</v>
      </c>
      <c r="H29" s="4" t="s">
        <v>158</v>
      </c>
      <c r="I29" s="4" t="s">
        <v>118</v>
      </c>
      <c r="J29" s="4" t="s">
        <v>69</v>
      </c>
      <c r="K29" s="4" t="s">
        <v>198</v>
      </c>
      <c r="L29" s="4" t="s">
        <v>48</v>
      </c>
      <c r="M29" s="4" t="s">
        <v>49</v>
      </c>
      <c r="N29" s="4" t="s">
        <v>72</v>
      </c>
      <c r="O29" s="4" t="s">
        <v>334</v>
      </c>
      <c r="P29" s="4" t="s">
        <v>331</v>
      </c>
      <c r="Q29" s="4" t="s">
        <v>51</v>
      </c>
      <c r="R29" s="4" t="s">
        <v>335</v>
      </c>
      <c r="S29" s="16" t="n">
        <f aca="false">IF(ISNUMBER(SEARCH("E0",$H29)),1,0)</f>
        <v>0</v>
      </c>
      <c r="T29" s="16" t="n">
        <f aca="false">IF(ISNUMBER(SEARCH("E1",$H29)),1,0)</f>
        <v>0</v>
      </c>
      <c r="U29" s="16" t="n">
        <f aca="false">IF(ISNUMBER(SEARCH("E2",$H29)),1,0)</f>
        <v>0</v>
      </c>
      <c r="V29" s="16" t="n">
        <f aca="false">IF(ISNUMBER(SEARCH("E3",$H29)),1,0)</f>
        <v>0</v>
      </c>
      <c r="W29" s="16" t="n">
        <f aca="false">IF(ISNUMBER(SEARCH("E4",$H29)),1,0)</f>
        <v>0</v>
      </c>
      <c r="X29" s="16" t="n">
        <f aca="false">IF(ISNUMBER(SEARCH("E5",$H29)),1,0)</f>
        <v>0</v>
      </c>
      <c r="Y29" s="16" t="n">
        <f aca="false">IF(ISNUMBER(SEARCH("E6",$H29)),1,0)</f>
        <v>0</v>
      </c>
      <c r="Z29" s="16" t="n">
        <f aca="false">IF(ISNUMBER(SEARCH("E7",$H29)),1,0)</f>
        <v>0</v>
      </c>
      <c r="AA29" s="16" t="n">
        <f aca="false">IF(ISNUMBER(SEARCH("E8",$H29)),1,0)</f>
        <v>0</v>
      </c>
      <c r="AB29" s="16" t="n">
        <f aca="false">IF(ISNUMBER(SEARCH("E9",$H29)),1,0)</f>
        <v>1</v>
      </c>
      <c r="AC29" s="16" t="n">
        <f aca="false">IF(ISNUMBER(SEARCH("TR",$H29)),1,0)</f>
        <v>0</v>
      </c>
      <c r="AD29" s="10" t="s">
        <v>192</v>
      </c>
      <c r="AE29" s="17" t="n">
        <f aca="false">IF(ISNUMBER(SEARCH("S0",$AD29)),1,0)</f>
        <v>0</v>
      </c>
      <c r="AF29" s="17" t="n">
        <f aca="false">IF(ISNUMBER(SEARCH("R01",$AD29)),1,0)</f>
        <v>0</v>
      </c>
      <c r="AG29" s="17" t="n">
        <f aca="false">IF(ISNUMBER(SEARCH("R02R03",$AD29)),1,0)</f>
        <v>0</v>
      </c>
      <c r="AH29" s="17" t="n">
        <f aca="false">IF(ISNUMBER(SEARCH("R04",$AD29)),1,0)</f>
        <v>0</v>
      </c>
      <c r="AI29" s="17" t="n">
        <f aca="false">IF(ISNUMBER(SEARCH("R05",$AD29)),1,0)</f>
        <v>0</v>
      </c>
      <c r="AJ29" s="17" t="n">
        <f aca="false">IF(ISNUMBER(SEARCH("S3R06",$AD29)),1,0)</f>
        <v>0</v>
      </c>
      <c r="AK29" s="17" t="n">
        <f aca="false">IF(ISNUMBER(SEARCH("R07",$AD29)),1,0)</f>
        <v>0</v>
      </c>
      <c r="AL29" s="17" t="n">
        <f aca="false">IF(ISNUMBER(SEARCH("R09",$AD29)),1,0)</f>
        <v>0</v>
      </c>
      <c r="AM29" s="17" t="n">
        <f aca="false">IF(ISNUMBER(SEARCH("R10",$AD29)),1,0)</f>
        <v>0</v>
      </c>
      <c r="AN29" s="17" t="n">
        <f aca="false">IF(ISNUMBER(SEARCH("S5",$AD29)),1,0)</f>
        <v>0</v>
      </c>
      <c r="AO29" s="17" t="n">
        <f aca="false">IF(ISNUMBER(SEARCH("S6",$AD29)),1,0)</f>
        <v>1</v>
      </c>
      <c r="AP29" s="17" t="n">
        <f aca="false">IF(ISNUMBER(SEARCH("TR",$AD29)),1,0)</f>
        <v>0</v>
      </c>
    </row>
    <row r="30" customFormat="false" ht="34.5" hidden="false" customHeight="true" outlineLevel="0" collapsed="false">
      <c r="A30" s="4" t="s">
        <v>336</v>
      </c>
      <c r="B30" s="4" t="s">
        <v>315</v>
      </c>
      <c r="C30" s="4" t="s">
        <v>327</v>
      </c>
      <c r="D30" s="4" t="s">
        <v>337</v>
      </c>
      <c r="E30" s="4" t="s">
        <v>75</v>
      </c>
      <c r="F30" s="4" t="s">
        <v>197</v>
      </c>
      <c r="G30" s="4" t="s">
        <v>56</v>
      </c>
      <c r="H30" s="4" t="s">
        <v>158</v>
      </c>
      <c r="I30" s="4" t="s">
        <v>118</v>
      </c>
      <c r="J30" s="4" t="s">
        <v>69</v>
      </c>
      <c r="K30" s="4" t="s">
        <v>198</v>
      </c>
      <c r="L30" s="4" t="s">
        <v>48</v>
      </c>
      <c r="M30" s="4" t="s">
        <v>49</v>
      </c>
      <c r="N30" s="4" t="s">
        <v>72</v>
      </c>
      <c r="O30" s="4" t="s">
        <v>338</v>
      </c>
      <c r="P30" s="4" t="s">
        <v>331</v>
      </c>
      <c r="Q30" s="4" t="s">
        <v>51</v>
      </c>
      <c r="R30" s="4" t="s">
        <v>335</v>
      </c>
      <c r="S30" s="16" t="n">
        <f aca="false">IF(ISNUMBER(SEARCH("E0",$H30)),1,0)</f>
        <v>0</v>
      </c>
      <c r="T30" s="16" t="n">
        <f aca="false">IF(ISNUMBER(SEARCH("E1",$H30)),1,0)</f>
        <v>0</v>
      </c>
      <c r="U30" s="16" t="n">
        <f aca="false">IF(ISNUMBER(SEARCH("E2",$H30)),1,0)</f>
        <v>0</v>
      </c>
      <c r="V30" s="16" t="n">
        <f aca="false">IF(ISNUMBER(SEARCH("E3",$H30)),1,0)</f>
        <v>0</v>
      </c>
      <c r="W30" s="16" t="n">
        <f aca="false">IF(ISNUMBER(SEARCH("E4",$H30)),1,0)</f>
        <v>0</v>
      </c>
      <c r="X30" s="16" t="n">
        <f aca="false">IF(ISNUMBER(SEARCH("E5",$H30)),1,0)</f>
        <v>0</v>
      </c>
      <c r="Y30" s="16" t="n">
        <f aca="false">IF(ISNUMBER(SEARCH("E6",$H30)),1,0)</f>
        <v>0</v>
      </c>
      <c r="Z30" s="16" t="n">
        <f aca="false">IF(ISNUMBER(SEARCH("E7",$H30)),1,0)</f>
        <v>0</v>
      </c>
      <c r="AA30" s="16" t="n">
        <f aca="false">IF(ISNUMBER(SEARCH("E8",$H30)),1,0)</f>
        <v>0</v>
      </c>
      <c r="AB30" s="16" t="n">
        <f aca="false">IF(ISNUMBER(SEARCH("E9",$H30)),1,0)</f>
        <v>1</v>
      </c>
      <c r="AC30" s="16" t="n">
        <f aca="false">IF(ISNUMBER(SEARCH("TR",$H30)),1,0)</f>
        <v>0</v>
      </c>
      <c r="AD30" s="10" t="s">
        <v>192</v>
      </c>
      <c r="AE30" s="17" t="n">
        <f aca="false">IF(ISNUMBER(SEARCH("S0",$AD30)),1,0)</f>
        <v>0</v>
      </c>
      <c r="AF30" s="17" t="n">
        <f aca="false">IF(ISNUMBER(SEARCH("R01",$AD30)),1,0)</f>
        <v>0</v>
      </c>
      <c r="AG30" s="17" t="n">
        <f aca="false">IF(ISNUMBER(SEARCH("R02R03",$AD30)),1,0)</f>
        <v>0</v>
      </c>
      <c r="AH30" s="17" t="n">
        <f aca="false">IF(ISNUMBER(SEARCH("R04",$AD30)),1,0)</f>
        <v>0</v>
      </c>
      <c r="AI30" s="17" t="n">
        <f aca="false">IF(ISNUMBER(SEARCH("R05",$AD30)),1,0)</f>
        <v>0</v>
      </c>
      <c r="AJ30" s="17" t="n">
        <f aca="false">IF(ISNUMBER(SEARCH("S3R06",$AD30)),1,0)</f>
        <v>0</v>
      </c>
      <c r="AK30" s="17" t="n">
        <f aca="false">IF(ISNUMBER(SEARCH("R07",$AD30)),1,0)</f>
        <v>0</v>
      </c>
      <c r="AL30" s="17" t="n">
        <f aca="false">IF(ISNUMBER(SEARCH("R09",$AD30)),1,0)</f>
        <v>0</v>
      </c>
      <c r="AM30" s="17" t="n">
        <f aca="false">IF(ISNUMBER(SEARCH("R10",$AD30)),1,0)</f>
        <v>0</v>
      </c>
      <c r="AN30" s="17" t="n">
        <f aca="false">IF(ISNUMBER(SEARCH("S5",$AD30)),1,0)</f>
        <v>0</v>
      </c>
      <c r="AO30" s="17" t="n">
        <f aca="false">IF(ISNUMBER(SEARCH("S6",$AD30)),1,0)</f>
        <v>1</v>
      </c>
      <c r="AP30" s="17" t="n">
        <f aca="false">IF(ISNUMBER(SEARCH("TR",$AD30)),1,0)</f>
        <v>0</v>
      </c>
    </row>
    <row r="31" customFormat="false" ht="34.5" hidden="false" customHeight="true" outlineLevel="0" collapsed="false">
      <c r="A31" s="4" t="s">
        <v>339</v>
      </c>
      <c r="B31" s="4" t="s">
        <v>315</v>
      </c>
      <c r="C31" s="4" t="s">
        <v>327</v>
      </c>
      <c r="D31" s="4" t="s">
        <v>340</v>
      </c>
      <c r="E31" s="4" t="s">
        <v>75</v>
      </c>
      <c r="F31" s="4" t="s">
        <v>197</v>
      </c>
      <c r="G31" s="4" t="s">
        <v>76</v>
      </c>
      <c r="H31" s="4" t="s">
        <v>161</v>
      </c>
      <c r="I31" s="4" t="s">
        <v>93</v>
      </c>
      <c r="J31" s="4" t="s">
        <v>69</v>
      </c>
      <c r="K31" s="4" t="s">
        <v>198</v>
      </c>
      <c r="L31" s="4" t="s">
        <v>48</v>
      </c>
      <c r="M31" s="4" t="s">
        <v>49</v>
      </c>
      <c r="N31" s="4" t="s">
        <v>61</v>
      </c>
      <c r="O31" s="4" t="s">
        <v>341</v>
      </c>
      <c r="P31" s="4" t="s">
        <v>331</v>
      </c>
      <c r="Q31" s="4" t="s">
        <v>51</v>
      </c>
      <c r="R31" s="4" t="s">
        <v>335</v>
      </c>
      <c r="S31" s="16" t="n">
        <f aca="false">IF(ISNUMBER(SEARCH("E0",$H31)),1,0)</f>
        <v>0</v>
      </c>
      <c r="T31" s="16" t="n">
        <f aca="false">IF(ISNUMBER(SEARCH("E1",$H31)),1,0)</f>
        <v>0</v>
      </c>
      <c r="U31" s="16" t="n">
        <f aca="false">IF(ISNUMBER(SEARCH("E2",$H31)),1,0)</f>
        <v>0</v>
      </c>
      <c r="V31" s="16" t="n">
        <f aca="false">IF(ISNUMBER(SEARCH("E3",$H31)),1,0)</f>
        <v>0</v>
      </c>
      <c r="W31" s="16" t="n">
        <f aca="false">IF(ISNUMBER(SEARCH("E4",$H31)),1,0)</f>
        <v>0</v>
      </c>
      <c r="X31" s="16" t="n">
        <f aca="false">IF(ISNUMBER(SEARCH("E5",$H31)),1,0)</f>
        <v>0</v>
      </c>
      <c r="Y31" s="16" t="n">
        <f aca="false">IF(ISNUMBER(SEARCH("E6",$H31)),1,0)</f>
        <v>0</v>
      </c>
      <c r="Z31" s="16" t="n">
        <f aca="false">IF(ISNUMBER(SEARCH("E7",$H31)),1,0)</f>
        <v>0</v>
      </c>
      <c r="AA31" s="16" t="n">
        <f aca="false">IF(ISNUMBER(SEARCH("E8",$H31)),1,0)</f>
        <v>0</v>
      </c>
      <c r="AB31" s="16" t="n">
        <f aca="false">IF(ISNUMBER(SEARCH("E9",$H31)),1,0)</f>
        <v>0</v>
      </c>
      <c r="AC31" s="16" t="n">
        <f aca="false">IF(ISNUMBER(SEARCH("TR",$H31)),1,0)</f>
        <v>1</v>
      </c>
      <c r="AD31" s="10" t="s">
        <v>161</v>
      </c>
      <c r="AE31" s="17" t="n">
        <f aca="false">IF(ISNUMBER(SEARCH("S0",$AD31)),1,0)</f>
        <v>0</v>
      </c>
      <c r="AF31" s="17" t="n">
        <f aca="false">IF(ISNUMBER(SEARCH("R01",$AD31)),1,0)</f>
        <v>0</v>
      </c>
      <c r="AG31" s="17" t="n">
        <f aca="false">IF(ISNUMBER(SEARCH("R02R03",$AD31)),1,0)</f>
        <v>0</v>
      </c>
      <c r="AH31" s="17" t="n">
        <f aca="false">IF(ISNUMBER(SEARCH("R04",$AD31)),1,0)</f>
        <v>0</v>
      </c>
      <c r="AI31" s="17" t="n">
        <f aca="false">IF(ISNUMBER(SEARCH("R05",$AD31)),1,0)</f>
        <v>0</v>
      </c>
      <c r="AJ31" s="17" t="n">
        <f aca="false">IF(ISNUMBER(SEARCH("S3R06",$AD31)),1,0)</f>
        <v>0</v>
      </c>
      <c r="AK31" s="17" t="n">
        <f aca="false">IF(ISNUMBER(SEARCH("R07",$AD31)),1,0)</f>
        <v>0</v>
      </c>
      <c r="AL31" s="17" t="n">
        <f aca="false">IF(ISNUMBER(SEARCH("R09",$AD31)),1,0)</f>
        <v>0</v>
      </c>
      <c r="AM31" s="17" t="n">
        <f aca="false">IF(ISNUMBER(SEARCH("R10",$AD31)),1,0)</f>
        <v>0</v>
      </c>
      <c r="AN31" s="17" t="n">
        <f aca="false">IF(ISNUMBER(SEARCH("S5",$AD31)),1,0)</f>
        <v>0</v>
      </c>
      <c r="AO31" s="17" t="n">
        <f aca="false">IF(ISNUMBER(SEARCH("S6",$AD31)),1,0)</f>
        <v>0</v>
      </c>
      <c r="AP31" s="17" t="n">
        <f aca="false">IF(ISNUMBER(SEARCH("TR",$AD31)),1,0)</f>
        <v>1</v>
      </c>
    </row>
    <row r="32" customFormat="false" ht="135.75" hidden="false" customHeight="true" outlineLevel="0" collapsed="false">
      <c r="A32" s="4" t="s">
        <v>342</v>
      </c>
      <c r="B32" s="4" t="s">
        <v>315</v>
      </c>
      <c r="C32" s="4" t="s">
        <v>343</v>
      </c>
      <c r="D32" s="4" t="s">
        <v>344</v>
      </c>
      <c r="E32" s="4" t="s">
        <v>66</v>
      </c>
      <c r="F32" s="4" t="s">
        <v>345</v>
      </c>
      <c r="G32" s="4" t="s">
        <v>76</v>
      </c>
      <c r="H32" s="4" t="s">
        <v>156</v>
      </c>
      <c r="I32" s="4" t="s">
        <v>77</v>
      </c>
      <c r="J32" s="4" t="s">
        <v>107</v>
      </c>
      <c r="K32" s="4" t="s">
        <v>198</v>
      </c>
      <c r="L32" s="4" t="s">
        <v>48</v>
      </c>
      <c r="M32" s="4" t="s">
        <v>49</v>
      </c>
      <c r="N32" s="4" t="s">
        <v>61</v>
      </c>
      <c r="O32" s="4" t="s">
        <v>346</v>
      </c>
      <c r="P32" s="4" t="s">
        <v>347</v>
      </c>
      <c r="Q32" s="4" t="s">
        <v>51</v>
      </c>
      <c r="R32" s="4" t="s">
        <v>348</v>
      </c>
      <c r="S32" s="16" t="n">
        <f aca="false">IF(ISNUMBER(SEARCH("E0",$H32)),1,0)</f>
        <v>0</v>
      </c>
      <c r="T32" s="16" t="n">
        <f aca="false">IF(ISNUMBER(SEARCH("E1",$H32)),1,0)</f>
        <v>0</v>
      </c>
      <c r="U32" s="16" t="n">
        <f aca="false">IF(ISNUMBER(SEARCH("E2",$H32)),1,0)</f>
        <v>0</v>
      </c>
      <c r="V32" s="16" t="n">
        <f aca="false">IF(ISNUMBER(SEARCH("E3",$H32)),1,0)</f>
        <v>0</v>
      </c>
      <c r="W32" s="16" t="n">
        <f aca="false">IF(ISNUMBER(SEARCH("E4",$H32)),1,0)</f>
        <v>0</v>
      </c>
      <c r="X32" s="16" t="n">
        <f aca="false">IF(ISNUMBER(SEARCH("E5",$H32)),1,0)</f>
        <v>0</v>
      </c>
      <c r="Y32" s="16" t="n">
        <f aca="false">IF(ISNUMBER(SEARCH("E6",$H32)),1,0)</f>
        <v>0</v>
      </c>
      <c r="Z32" s="16" t="n">
        <f aca="false">IF(ISNUMBER(SEARCH("E7",$H32)),1,0)</f>
        <v>0</v>
      </c>
      <c r="AA32" s="16" t="n">
        <f aca="false">IF(ISNUMBER(SEARCH("E8",$H32)),1,0)</f>
        <v>1</v>
      </c>
      <c r="AB32" s="16" t="n">
        <f aca="false">IF(ISNUMBER(SEARCH("E9",$H32)),1,0)</f>
        <v>0</v>
      </c>
      <c r="AC32" s="16" t="n">
        <f aca="false">IF(ISNUMBER(SEARCH("TR",$H32)),1,0)</f>
        <v>0</v>
      </c>
      <c r="AD32" s="10" t="s">
        <v>191</v>
      </c>
      <c r="AE32" s="17" t="n">
        <f aca="false">IF(ISNUMBER(SEARCH("S0",$AD32)),1,0)</f>
        <v>0</v>
      </c>
      <c r="AF32" s="17" t="n">
        <f aca="false">IF(ISNUMBER(SEARCH("R01",$AD32)),1,0)</f>
        <v>0</v>
      </c>
      <c r="AG32" s="17" t="n">
        <f aca="false">IF(ISNUMBER(SEARCH("R02R03",$AD32)),1,0)</f>
        <v>0</v>
      </c>
      <c r="AH32" s="17" t="n">
        <f aca="false">IF(ISNUMBER(SEARCH("R04",$AD32)),1,0)</f>
        <v>0</v>
      </c>
      <c r="AI32" s="17" t="n">
        <f aca="false">IF(ISNUMBER(SEARCH("R05",$AD32)),1,0)</f>
        <v>0</v>
      </c>
      <c r="AJ32" s="17" t="n">
        <f aca="false">IF(ISNUMBER(SEARCH("S3R06",$AD32)),1,0)</f>
        <v>0</v>
      </c>
      <c r="AK32" s="17" t="n">
        <f aca="false">IF(ISNUMBER(SEARCH("R07",$AD32)),1,0)</f>
        <v>0</v>
      </c>
      <c r="AL32" s="17" t="n">
        <f aca="false">IF(ISNUMBER(SEARCH("R09",$AD32)),1,0)</f>
        <v>0</v>
      </c>
      <c r="AM32" s="17" t="n">
        <f aca="false">IF(ISNUMBER(SEARCH("R10",$AD32)),1,0)</f>
        <v>0</v>
      </c>
      <c r="AN32" s="17" t="n">
        <f aca="false">IF(ISNUMBER(SEARCH("S5",$AD32)),1,0)</f>
        <v>1</v>
      </c>
      <c r="AO32" s="17" t="n">
        <f aca="false">IF(ISNUMBER(SEARCH("S6",$AD32)),1,0)</f>
        <v>0</v>
      </c>
      <c r="AP32" s="17" t="n">
        <f aca="false">IF(ISNUMBER(SEARCH("TR",$AD32)),1,0)</f>
        <v>0</v>
      </c>
    </row>
    <row r="33" customFormat="false" ht="147" hidden="false" customHeight="true" outlineLevel="0" collapsed="false">
      <c r="A33" s="4" t="s">
        <v>349</v>
      </c>
      <c r="B33" s="4" t="s">
        <v>315</v>
      </c>
      <c r="C33" s="4" t="s">
        <v>343</v>
      </c>
      <c r="D33" s="4" t="s">
        <v>350</v>
      </c>
      <c r="E33" s="4" t="s">
        <v>66</v>
      </c>
      <c r="F33" s="4" t="s">
        <v>345</v>
      </c>
      <c r="G33" s="4" t="s">
        <v>98</v>
      </c>
      <c r="H33" s="4" t="s">
        <v>351</v>
      </c>
      <c r="I33" s="4" t="s">
        <v>106</v>
      </c>
      <c r="J33" s="4" t="s">
        <v>78</v>
      </c>
      <c r="K33" s="4" t="s">
        <v>198</v>
      </c>
      <c r="L33" s="4" t="s">
        <v>48</v>
      </c>
      <c r="M33" s="4" t="s">
        <v>49</v>
      </c>
      <c r="N33" s="4" t="s">
        <v>61</v>
      </c>
      <c r="O33" s="4" t="s">
        <v>352</v>
      </c>
      <c r="P33" s="4" t="s">
        <v>347</v>
      </c>
      <c r="Q33" s="4" t="s">
        <v>51</v>
      </c>
      <c r="R33" s="4" t="s">
        <v>353</v>
      </c>
      <c r="S33" s="16" t="n">
        <f aca="false">IF(ISNUMBER(SEARCH("E0",$H33)),1,0)</f>
        <v>0</v>
      </c>
      <c r="T33" s="16" t="n">
        <f aca="false">IF(ISNUMBER(SEARCH("E1",$H33)),1,0)</f>
        <v>0</v>
      </c>
      <c r="U33" s="16" t="n">
        <f aca="false">IF(ISNUMBER(SEARCH("E2",$H33)),1,0)</f>
        <v>0</v>
      </c>
      <c r="V33" s="16" t="n">
        <f aca="false">IF(ISNUMBER(SEARCH("E3",$H33)),1,0)</f>
        <v>0</v>
      </c>
      <c r="W33" s="16" t="n">
        <f aca="false">IF(ISNUMBER(SEARCH("E4",$H33)),1,0)</f>
        <v>0</v>
      </c>
      <c r="X33" s="16" t="n">
        <f aca="false">IF(ISNUMBER(SEARCH("E5",$H33)),1,0)</f>
        <v>0</v>
      </c>
      <c r="Y33" s="16" t="n">
        <f aca="false">IF(ISNUMBER(SEARCH("E6",$H33)),1,0)</f>
        <v>0</v>
      </c>
      <c r="Z33" s="16" t="n">
        <f aca="false">IF(ISNUMBER(SEARCH("E7",$H33)),1,0)</f>
        <v>0</v>
      </c>
      <c r="AA33" s="16" t="n">
        <f aca="false">IF(ISNUMBER(SEARCH("E8",$H33)),1,0)</f>
        <v>1</v>
      </c>
      <c r="AB33" s="16" t="n">
        <f aca="false">IF(ISNUMBER(SEARCH("E9",$H33)),1,0)</f>
        <v>0</v>
      </c>
      <c r="AC33" s="16" t="n">
        <f aca="false">IF(ISNUMBER(SEARCH("TR",$H33)),1,0)</f>
        <v>1</v>
      </c>
      <c r="AD33" s="10" t="s">
        <v>354</v>
      </c>
      <c r="AE33" s="17" t="n">
        <f aca="false">IF(ISNUMBER(SEARCH("S0",$AD33)),1,0)</f>
        <v>0</v>
      </c>
      <c r="AF33" s="17" t="n">
        <f aca="false">IF(ISNUMBER(SEARCH("R01",$AD33)),1,0)</f>
        <v>0</v>
      </c>
      <c r="AG33" s="17" t="n">
        <f aca="false">IF(ISNUMBER(SEARCH("R02R03",$AD33)),1,0)</f>
        <v>0</v>
      </c>
      <c r="AH33" s="17" t="n">
        <f aca="false">IF(ISNUMBER(SEARCH("R04",$AD33)),1,0)</f>
        <v>0</v>
      </c>
      <c r="AI33" s="17" t="n">
        <f aca="false">IF(ISNUMBER(SEARCH("R05",$AD33)),1,0)</f>
        <v>0</v>
      </c>
      <c r="AJ33" s="17" t="n">
        <f aca="false">IF(ISNUMBER(SEARCH("S3R06",$AD33)),1,0)</f>
        <v>0</v>
      </c>
      <c r="AK33" s="17" t="n">
        <f aca="false">IF(ISNUMBER(SEARCH("R07",$AD33)),1,0)</f>
        <v>0</v>
      </c>
      <c r="AL33" s="17" t="n">
        <f aca="false">IF(ISNUMBER(SEARCH("R09",$AD33)),1,0)</f>
        <v>0</v>
      </c>
      <c r="AM33" s="17" t="n">
        <f aca="false">IF(ISNUMBER(SEARCH("R10",$AD33)),1,0)</f>
        <v>0</v>
      </c>
      <c r="AN33" s="17" t="n">
        <f aca="false">IF(ISNUMBER(SEARCH("S5",$AD33)),1,0)</f>
        <v>1</v>
      </c>
      <c r="AO33" s="17" t="n">
        <f aca="false">IF(ISNUMBER(SEARCH("S6",$AD33)),1,0)</f>
        <v>0</v>
      </c>
      <c r="AP33" s="17" t="n">
        <f aca="false">IF(ISNUMBER(SEARCH("TR",$AD33)),1,0)</f>
        <v>1</v>
      </c>
    </row>
    <row r="34" customFormat="false" ht="147" hidden="false" customHeight="true" outlineLevel="0" collapsed="false">
      <c r="A34" s="4" t="s">
        <v>355</v>
      </c>
      <c r="B34" s="4" t="s">
        <v>315</v>
      </c>
      <c r="C34" s="4" t="s">
        <v>343</v>
      </c>
      <c r="D34" s="4" t="s">
        <v>356</v>
      </c>
      <c r="E34" s="4" t="s">
        <v>66</v>
      </c>
      <c r="F34" s="4" t="s">
        <v>345</v>
      </c>
      <c r="G34" s="4" t="s">
        <v>76</v>
      </c>
      <c r="H34" s="4" t="s">
        <v>161</v>
      </c>
      <c r="I34" s="4" t="s">
        <v>77</v>
      </c>
      <c r="J34" s="4" t="s">
        <v>107</v>
      </c>
      <c r="K34" s="4" t="s">
        <v>357</v>
      </c>
      <c r="L34" s="4" t="s">
        <v>48</v>
      </c>
      <c r="M34" s="4" t="s">
        <v>49</v>
      </c>
      <c r="N34" s="4" t="s">
        <v>61</v>
      </c>
      <c r="O34" s="4" t="s">
        <v>358</v>
      </c>
      <c r="P34" s="4" t="s">
        <v>347</v>
      </c>
      <c r="Q34" s="4" t="s">
        <v>51</v>
      </c>
      <c r="R34" s="4" t="s">
        <v>359</v>
      </c>
      <c r="S34" s="16" t="n">
        <f aca="false">IF(ISNUMBER(SEARCH("E0",$H34)),1,0)</f>
        <v>0</v>
      </c>
      <c r="T34" s="16" t="n">
        <f aca="false">IF(ISNUMBER(SEARCH("E1",$H34)),1,0)</f>
        <v>0</v>
      </c>
      <c r="U34" s="16" t="n">
        <f aca="false">IF(ISNUMBER(SEARCH("E2",$H34)),1,0)</f>
        <v>0</v>
      </c>
      <c r="V34" s="16" t="n">
        <f aca="false">IF(ISNUMBER(SEARCH("E3",$H34)),1,0)</f>
        <v>0</v>
      </c>
      <c r="W34" s="16" t="n">
        <f aca="false">IF(ISNUMBER(SEARCH("E4",$H34)),1,0)</f>
        <v>0</v>
      </c>
      <c r="X34" s="16" t="n">
        <f aca="false">IF(ISNUMBER(SEARCH("E5",$H34)),1,0)</f>
        <v>0</v>
      </c>
      <c r="Y34" s="16" t="n">
        <f aca="false">IF(ISNUMBER(SEARCH("E6",$H34)),1,0)</f>
        <v>0</v>
      </c>
      <c r="Z34" s="16" t="n">
        <f aca="false">IF(ISNUMBER(SEARCH("E7",$H34)),1,0)</f>
        <v>0</v>
      </c>
      <c r="AA34" s="16" t="n">
        <f aca="false">IF(ISNUMBER(SEARCH("E8",$H34)),1,0)</f>
        <v>0</v>
      </c>
      <c r="AB34" s="16" t="n">
        <f aca="false">IF(ISNUMBER(SEARCH("E9",$H34)),1,0)</f>
        <v>0</v>
      </c>
      <c r="AC34" s="16" t="n">
        <f aca="false">IF(ISNUMBER(SEARCH("TR",$H34)),1,0)</f>
        <v>1</v>
      </c>
      <c r="AD34" s="10" t="s">
        <v>161</v>
      </c>
      <c r="AE34" s="17" t="n">
        <f aca="false">IF(ISNUMBER(SEARCH("S0",$AD34)),1,0)</f>
        <v>0</v>
      </c>
      <c r="AF34" s="17" t="n">
        <f aca="false">IF(ISNUMBER(SEARCH("R01",$AD34)),1,0)</f>
        <v>0</v>
      </c>
      <c r="AG34" s="17" t="n">
        <f aca="false">IF(ISNUMBER(SEARCH("R02R03",$AD34)),1,0)</f>
        <v>0</v>
      </c>
      <c r="AH34" s="17" t="n">
        <f aca="false">IF(ISNUMBER(SEARCH("R04",$AD34)),1,0)</f>
        <v>0</v>
      </c>
      <c r="AI34" s="17" t="n">
        <f aca="false">IF(ISNUMBER(SEARCH("R05",$AD34)),1,0)</f>
        <v>0</v>
      </c>
      <c r="AJ34" s="17" t="n">
        <f aca="false">IF(ISNUMBER(SEARCH("S3R06",$AD34)),1,0)</f>
        <v>0</v>
      </c>
      <c r="AK34" s="17" t="n">
        <f aca="false">IF(ISNUMBER(SEARCH("R07",$AD34)),1,0)</f>
        <v>0</v>
      </c>
      <c r="AL34" s="17" t="n">
        <f aca="false">IF(ISNUMBER(SEARCH("R09",$AD34)),1,0)</f>
        <v>0</v>
      </c>
      <c r="AM34" s="17" t="n">
        <f aca="false">IF(ISNUMBER(SEARCH("R10",$AD34)),1,0)</f>
        <v>0</v>
      </c>
      <c r="AN34" s="17" t="n">
        <f aca="false">IF(ISNUMBER(SEARCH("S5",$AD34)),1,0)</f>
        <v>0</v>
      </c>
      <c r="AO34" s="17" t="n">
        <f aca="false">IF(ISNUMBER(SEARCH("S6",$AD34)),1,0)</f>
        <v>0</v>
      </c>
      <c r="AP34" s="17" t="n">
        <f aca="false">IF(ISNUMBER(SEARCH("TR",$AD34)),1,0)</f>
        <v>1</v>
      </c>
    </row>
    <row r="35" customFormat="false" ht="124.5" hidden="false" customHeight="true" outlineLevel="0" collapsed="false">
      <c r="A35" s="4" t="s">
        <v>360</v>
      </c>
      <c r="B35" s="4" t="s">
        <v>315</v>
      </c>
      <c r="C35" s="4" t="s">
        <v>343</v>
      </c>
      <c r="D35" s="4" t="s">
        <v>361</v>
      </c>
      <c r="E35" s="4" t="s">
        <v>66</v>
      </c>
      <c r="F35" s="4" t="s">
        <v>345</v>
      </c>
      <c r="G35" s="4" t="s">
        <v>45</v>
      </c>
      <c r="H35" s="4" t="s">
        <v>156</v>
      </c>
      <c r="I35" s="4" t="s">
        <v>118</v>
      </c>
      <c r="J35" s="4" t="s">
        <v>107</v>
      </c>
      <c r="K35" s="4" t="s">
        <v>198</v>
      </c>
      <c r="L35" s="4" t="s">
        <v>95</v>
      </c>
      <c r="M35" s="4" t="s">
        <v>49</v>
      </c>
      <c r="N35" s="4" t="s">
        <v>61</v>
      </c>
      <c r="O35" s="4" t="s">
        <v>362</v>
      </c>
      <c r="P35" s="4" t="s">
        <v>347</v>
      </c>
      <c r="Q35" s="4" t="s">
        <v>51</v>
      </c>
      <c r="R35" s="4" t="s">
        <v>363</v>
      </c>
      <c r="S35" s="16" t="n">
        <f aca="false">IF(ISNUMBER(SEARCH("E0",$H35)),1,0)</f>
        <v>0</v>
      </c>
      <c r="T35" s="16" t="n">
        <f aca="false">IF(ISNUMBER(SEARCH("E1",$H35)),1,0)</f>
        <v>0</v>
      </c>
      <c r="U35" s="16" t="n">
        <f aca="false">IF(ISNUMBER(SEARCH("E2",$H35)),1,0)</f>
        <v>0</v>
      </c>
      <c r="V35" s="16" t="n">
        <f aca="false">IF(ISNUMBER(SEARCH("E3",$H35)),1,0)</f>
        <v>0</v>
      </c>
      <c r="W35" s="16" t="n">
        <f aca="false">IF(ISNUMBER(SEARCH("E4",$H35)),1,0)</f>
        <v>0</v>
      </c>
      <c r="X35" s="16" t="n">
        <f aca="false">IF(ISNUMBER(SEARCH("E5",$H35)),1,0)</f>
        <v>0</v>
      </c>
      <c r="Y35" s="16" t="n">
        <f aca="false">IF(ISNUMBER(SEARCH("E6",$H35)),1,0)</f>
        <v>0</v>
      </c>
      <c r="Z35" s="16" t="n">
        <f aca="false">IF(ISNUMBER(SEARCH("E7",$H35)),1,0)</f>
        <v>0</v>
      </c>
      <c r="AA35" s="16" t="n">
        <f aca="false">IF(ISNUMBER(SEARCH("E8",$H35)),1,0)</f>
        <v>1</v>
      </c>
      <c r="AB35" s="16" t="n">
        <f aca="false">IF(ISNUMBER(SEARCH("E9",$H35)),1,0)</f>
        <v>0</v>
      </c>
      <c r="AC35" s="16" t="n">
        <f aca="false">IF(ISNUMBER(SEARCH("TR",$H35)),1,0)</f>
        <v>0</v>
      </c>
      <c r="AD35" s="10" t="s">
        <v>191</v>
      </c>
      <c r="AE35" s="17" t="n">
        <f aca="false">IF(ISNUMBER(SEARCH("S0",$AD35)),1,0)</f>
        <v>0</v>
      </c>
      <c r="AF35" s="17" t="n">
        <f aca="false">IF(ISNUMBER(SEARCH("R01",$AD35)),1,0)</f>
        <v>0</v>
      </c>
      <c r="AG35" s="17" t="n">
        <f aca="false">IF(ISNUMBER(SEARCH("R02R03",$AD35)),1,0)</f>
        <v>0</v>
      </c>
      <c r="AH35" s="17" t="n">
        <f aca="false">IF(ISNUMBER(SEARCH("R04",$AD35)),1,0)</f>
        <v>0</v>
      </c>
      <c r="AI35" s="17" t="n">
        <f aca="false">IF(ISNUMBER(SEARCH("R05",$AD35)),1,0)</f>
        <v>0</v>
      </c>
      <c r="AJ35" s="17" t="n">
        <f aca="false">IF(ISNUMBER(SEARCH("S3R06",$AD35)),1,0)</f>
        <v>0</v>
      </c>
      <c r="AK35" s="17" t="n">
        <f aca="false">IF(ISNUMBER(SEARCH("R07",$AD35)),1,0)</f>
        <v>0</v>
      </c>
      <c r="AL35" s="17" t="n">
        <f aca="false">IF(ISNUMBER(SEARCH("R09",$AD35)),1,0)</f>
        <v>0</v>
      </c>
      <c r="AM35" s="17" t="n">
        <f aca="false">IF(ISNUMBER(SEARCH("R10",$AD35)),1,0)</f>
        <v>0</v>
      </c>
      <c r="AN35" s="17" t="n">
        <f aca="false">IF(ISNUMBER(SEARCH("S5",$AD35)),1,0)</f>
        <v>1</v>
      </c>
      <c r="AO35" s="17" t="n">
        <f aca="false">IF(ISNUMBER(SEARCH("S6",$AD35)),1,0)</f>
        <v>0</v>
      </c>
      <c r="AP35" s="17" t="n">
        <f aca="false">IF(ISNUMBER(SEARCH("TR",$AD35)),1,0)</f>
        <v>0</v>
      </c>
    </row>
    <row r="36" customFormat="false" ht="124.5" hidden="false" customHeight="true" outlineLevel="0" collapsed="false">
      <c r="A36" s="4" t="s">
        <v>364</v>
      </c>
      <c r="B36" s="4" t="s">
        <v>315</v>
      </c>
      <c r="C36" s="4" t="s">
        <v>343</v>
      </c>
      <c r="D36" s="4" t="s">
        <v>365</v>
      </c>
      <c r="E36" s="4" t="s">
        <v>66</v>
      </c>
      <c r="F36" s="4" t="s">
        <v>345</v>
      </c>
      <c r="G36" s="4" t="s">
        <v>84</v>
      </c>
      <c r="H36" s="4" t="s">
        <v>156</v>
      </c>
      <c r="I36" s="4" t="s">
        <v>77</v>
      </c>
      <c r="J36" s="4" t="s">
        <v>107</v>
      </c>
      <c r="K36" s="4" t="s">
        <v>366</v>
      </c>
      <c r="L36" s="4" t="s">
        <v>48</v>
      </c>
      <c r="M36" s="4" t="s">
        <v>49</v>
      </c>
      <c r="N36" s="4" t="s">
        <v>61</v>
      </c>
      <c r="O36" s="4" t="s">
        <v>367</v>
      </c>
      <c r="P36" s="4" t="s">
        <v>347</v>
      </c>
      <c r="Q36" s="4" t="s">
        <v>51</v>
      </c>
      <c r="R36" s="4" t="s">
        <v>368</v>
      </c>
      <c r="S36" s="16" t="n">
        <f aca="false">IF(ISNUMBER(SEARCH("E0",$H36)),1,0)</f>
        <v>0</v>
      </c>
      <c r="T36" s="16" t="n">
        <f aca="false">IF(ISNUMBER(SEARCH("E1",$H36)),1,0)</f>
        <v>0</v>
      </c>
      <c r="U36" s="16" t="n">
        <f aca="false">IF(ISNUMBER(SEARCH("E2",$H36)),1,0)</f>
        <v>0</v>
      </c>
      <c r="V36" s="16" t="n">
        <f aca="false">IF(ISNUMBER(SEARCH("E3",$H36)),1,0)</f>
        <v>0</v>
      </c>
      <c r="W36" s="16" t="n">
        <f aca="false">IF(ISNUMBER(SEARCH("E4",$H36)),1,0)</f>
        <v>0</v>
      </c>
      <c r="X36" s="16" t="n">
        <f aca="false">IF(ISNUMBER(SEARCH("E5",$H36)),1,0)</f>
        <v>0</v>
      </c>
      <c r="Y36" s="16" t="n">
        <f aca="false">IF(ISNUMBER(SEARCH("E6",$H36)),1,0)</f>
        <v>0</v>
      </c>
      <c r="Z36" s="16" t="n">
        <f aca="false">IF(ISNUMBER(SEARCH("E7",$H36)),1,0)</f>
        <v>0</v>
      </c>
      <c r="AA36" s="16" t="n">
        <f aca="false">IF(ISNUMBER(SEARCH("E8",$H36)),1,0)</f>
        <v>1</v>
      </c>
      <c r="AB36" s="16" t="n">
        <f aca="false">IF(ISNUMBER(SEARCH("E9",$H36)),1,0)</f>
        <v>0</v>
      </c>
      <c r="AC36" s="16" t="n">
        <f aca="false">IF(ISNUMBER(SEARCH("TR",$H36)),1,0)</f>
        <v>0</v>
      </c>
      <c r="AD36" s="10" t="s">
        <v>191</v>
      </c>
      <c r="AE36" s="17" t="n">
        <f aca="false">IF(ISNUMBER(SEARCH("S0",$AD36)),1,0)</f>
        <v>0</v>
      </c>
      <c r="AF36" s="17" t="n">
        <f aca="false">IF(ISNUMBER(SEARCH("R01",$AD36)),1,0)</f>
        <v>0</v>
      </c>
      <c r="AG36" s="17" t="n">
        <f aca="false">IF(ISNUMBER(SEARCH("R02R03",$AD36)),1,0)</f>
        <v>0</v>
      </c>
      <c r="AH36" s="17" t="n">
        <f aca="false">IF(ISNUMBER(SEARCH("R04",$AD36)),1,0)</f>
        <v>0</v>
      </c>
      <c r="AI36" s="17" t="n">
        <f aca="false">IF(ISNUMBER(SEARCH("R05",$AD36)),1,0)</f>
        <v>0</v>
      </c>
      <c r="AJ36" s="17" t="n">
        <f aca="false">IF(ISNUMBER(SEARCH("S3R06",$AD36)),1,0)</f>
        <v>0</v>
      </c>
      <c r="AK36" s="17" t="n">
        <f aca="false">IF(ISNUMBER(SEARCH("R07",$AD36)),1,0)</f>
        <v>0</v>
      </c>
      <c r="AL36" s="17" t="n">
        <f aca="false">IF(ISNUMBER(SEARCH("R09",$AD36)),1,0)</f>
        <v>0</v>
      </c>
      <c r="AM36" s="17" t="n">
        <f aca="false">IF(ISNUMBER(SEARCH("R10",$AD36)),1,0)</f>
        <v>0</v>
      </c>
      <c r="AN36" s="17" t="n">
        <f aca="false">IF(ISNUMBER(SEARCH("S5",$AD36)),1,0)</f>
        <v>1</v>
      </c>
      <c r="AO36" s="17" t="n">
        <f aca="false">IF(ISNUMBER(SEARCH("S6",$AD36)),1,0)</f>
        <v>0</v>
      </c>
      <c r="AP36" s="17" t="n">
        <f aca="false">IF(ISNUMBER(SEARCH("TR",$AD36)),1,0)</f>
        <v>0</v>
      </c>
    </row>
    <row r="37" customFormat="false" ht="135.75" hidden="false" customHeight="true" outlineLevel="0" collapsed="false">
      <c r="A37" s="4" t="s">
        <v>369</v>
      </c>
      <c r="B37" s="4" t="s">
        <v>315</v>
      </c>
      <c r="C37" s="4" t="s">
        <v>343</v>
      </c>
      <c r="D37" s="4" t="s">
        <v>370</v>
      </c>
      <c r="E37" s="4" t="s">
        <v>66</v>
      </c>
      <c r="F37" s="4" t="s">
        <v>345</v>
      </c>
      <c r="G37" s="4" t="s">
        <v>84</v>
      </c>
      <c r="H37" s="4" t="s">
        <v>156</v>
      </c>
      <c r="I37" s="4" t="s">
        <v>77</v>
      </c>
      <c r="J37" s="4" t="s">
        <v>107</v>
      </c>
      <c r="K37" s="4" t="s">
        <v>357</v>
      </c>
      <c r="L37" s="4" t="s">
        <v>48</v>
      </c>
      <c r="M37" s="4" t="s">
        <v>49</v>
      </c>
      <c r="N37" s="4" t="s">
        <v>61</v>
      </c>
      <c r="O37" s="4" t="s">
        <v>371</v>
      </c>
      <c r="P37" s="4" t="s">
        <v>347</v>
      </c>
      <c r="Q37" s="4" t="s">
        <v>51</v>
      </c>
      <c r="R37" s="4" t="s">
        <v>372</v>
      </c>
      <c r="S37" s="16" t="n">
        <f aca="false">IF(ISNUMBER(SEARCH("E0",$H37)),1,0)</f>
        <v>0</v>
      </c>
      <c r="T37" s="16" t="n">
        <f aca="false">IF(ISNUMBER(SEARCH("E1",$H37)),1,0)</f>
        <v>0</v>
      </c>
      <c r="U37" s="16" t="n">
        <f aca="false">IF(ISNUMBER(SEARCH("E2",$H37)),1,0)</f>
        <v>0</v>
      </c>
      <c r="V37" s="16" t="n">
        <f aca="false">IF(ISNUMBER(SEARCH("E3",$H37)),1,0)</f>
        <v>0</v>
      </c>
      <c r="W37" s="16" t="n">
        <f aca="false">IF(ISNUMBER(SEARCH("E4",$H37)),1,0)</f>
        <v>0</v>
      </c>
      <c r="X37" s="16" t="n">
        <f aca="false">IF(ISNUMBER(SEARCH("E5",$H37)),1,0)</f>
        <v>0</v>
      </c>
      <c r="Y37" s="16" t="n">
        <f aca="false">IF(ISNUMBER(SEARCH("E6",$H37)),1,0)</f>
        <v>0</v>
      </c>
      <c r="Z37" s="16" t="n">
        <f aca="false">IF(ISNUMBER(SEARCH("E7",$H37)),1,0)</f>
        <v>0</v>
      </c>
      <c r="AA37" s="16" t="n">
        <f aca="false">IF(ISNUMBER(SEARCH("E8",$H37)),1,0)</f>
        <v>1</v>
      </c>
      <c r="AB37" s="16" t="n">
        <f aca="false">IF(ISNUMBER(SEARCH("E9",$H37)),1,0)</f>
        <v>0</v>
      </c>
      <c r="AC37" s="16" t="n">
        <f aca="false">IF(ISNUMBER(SEARCH("TR",$H37)),1,0)</f>
        <v>0</v>
      </c>
      <c r="AD37" s="10" t="s">
        <v>191</v>
      </c>
      <c r="AE37" s="17" t="n">
        <f aca="false">IF(ISNUMBER(SEARCH("S0",$AD37)),1,0)</f>
        <v>0</v>
      </c>
      <c r="AF37" s="17" t="n">
        <f aca="false">IF(ISNUMBER(SEARCH("R01",$AD37)),1,0)</f>
        <v>0</v>
      </c>
      <c r="AG37" s="17" t="n">
        <f aca="false">IF(ISNUMBER(SEARCH("R02R03",$AD37)),1,0)</f>
        <v>0</v>
      </c>
      <c r="AH37" s="17" t="n">
        <f aca="false">IF(ISNUMBER(SEARCH("R04",$AD37)),1,0)</f>
        <v>0</v>
      </c>
      <c r="AI37" s="17" t="n">
        <f aca="false">IF(ISNUMBER(SEARCH("R05",$AD37)),1,0)</f>
        <v>0</v>
      </c>
      <c r="AJ37" s="17" t="n">
        <f aca="false">IF(ISNUMBER(SEARCH("S3R06",$AD37)),1,0)</f>
        <v>0</v>
      </c>
      <c r="AK37" s="17" t="n">
        <f aca="false">IF(ISNUMBER(SEARCH("R07",$AD37)),1,0)</f>
        <v>0</v>
      </c>
      <c r="AL37" s="17" t="n">
        <f aca="false">IF(ISNUMBER(SEARCH("R09",$AD37)),1,0)</f>
        <v>0</v>
      </c>
      <c r="AM37" s="17" t="n">
        <f aca="false">IF(ISNUMBER(SEARCH("R10",$AD37)),1,0)</f>
        <v>0</v>
      </c>
      <c r="AN37" s="17" t="n">
        <f aca="false">IF(ISNUMBER(SEARCH("S5",$AD37)),1,0)</f>
        <v>1</v>
      </c>
      <c r="AO37" s="17" t="n">
        <f aca="false">IF(ISNUMBER(SEARCH("S6",$AD37)),1,0)</f>
        <v>0</v>
      </c>
      <c r="AP37" s="17" t="n">
        <f aca="false">IF(ISNUMBER(SEARCH("TR",$AD37)),1,0)</f>
        <v>0</v>
      </c>
    </row>
    <row r="38" customFormat="false" ht="135.75" hidden="false" customHeight="true" outlineLevel="0" collapsed="false">
      <c r="A38" s="4" t="s">
        <v>373</v>
      </c>
      <c r="B38" s="4" t="s">
        <v>315</v>
      </c>
      <c r="C38" s="4" t="s">
        <v>343</v>
      </c>
      <c r="D38" s="4" t="s">
        <v>374</v>
      </c>
      <c r="E38" s="4" t="s">
        <v>66</v>
      </c>
      <c r="F38" s="4" t="s">
        <v>345</v>
      </c>
      <c r="G38" s="4" t="s">
        <v>76</v>
      </c>
      <c r="H38" s="4" t="s">
        <v>156</v>
      </c>
      <c r="I38" s="4" t="s">
        <v>77</v>
      </c>
      <c r="J38" s="4" t="s">
        <v>107</v>
      </c>
      <c r="K38" s="4" t="s">
        <v>375</v>
      </c>
      <c r="L38" s="4" t="s">
        <v>48</v>
      </c>
      <c r="M38" s="4" t="s">
        <v>49</v>
      </c>
      <c r="N38" s="4" t="s">
        <v>61</v>
      </c>
      <c r="O38" s="4" t="s">
        <v>376</v>
      </c>
      <c r="P38" s="4" t="s">
        <v>347</v>
      </c>
      <c r="Q38" s="4" t="s">
        <v>51</v>
      </c>
      <c r="R38" s="4" t="s">
        <v>377</v>
      </c>
      <c r="S38" s="16" t="n">
        <f aca="false">IF(ISNUMBER(SEARCH("E0",$H38)),1,0)</f>
        <v>0</v>
      </c>
      <c r="T38" s="16" t="n">
        <f aca="false">IF(ISNUMBER(SEARCH("E1",$H38)),1,0)</f>
        <v>0</v>
      </c>
      <c r="U38" s="16" t="n">
        <f aca="false">IF(ISNUMBER(SEARCH("E2",$H38)),1,0)</f>
        <v>0</v>
      </c>
      <c r="V38" s="16" t="n">
        <f aca="false">IF(ISNUMBER(SEARCH("E3",$H38)),1,0)</f>
        <v>0</v>
      </c>
      <c r="W38" s="16" t="n">
        <f aca="false">IF(ISNUMBER(SEARCH("E4",$H38)),1,0)</f>
        <v>0</v>
      </c>
      <c r="X38" s="16" t="n">
        <f aca="false">IF(ISNUMBER(SEARCH("E5",$H38)),1,0)</f>
        <v>0</v>
      </c>
      <c r="Y38" s="16" t="n">
        <f aca="false">IF(ISNUMBER(SEARCH("E6",$H38)),1,0)</f>
        <v>0</v>
      </c>
      <c r="Z38" s="16" t="n">
        <f aca="false">IF(ISNUMBER(SEARCH("E7",$H38)),1,0)</f>
        <v>0</v>
      </c>
      <c r="AA38" s="16" t="n">
        <f aca="false">IF(ISNUMBER(SEARCH("E8",$H38)),1,0)</f>
        <v>1</v>
      </c>
      <c r="AB38" s="16" t="n">
        <f aca="false">IF(ISNUMBER(SEARCH("E9",$H38)),1,0)</f>
        <v>0</v>
      </c>
      <c r="AC38" s="16" t="n">
        <f aca="false">IF(ISNUMBER(SEARCH("TR",$H38)),1,0)</f>
        <v>0</v>
      </c>
      <c r="AD38" s="10" t="s">
        <v>191</v>
      </c>
      <c r="AE38" s="17" t="n">
        <f aca="false">IF(ISNUMBER(SEARCH("S0",$AD38)),1,0)</f>
        <v>0</v>
      </c>
      <c r="AF38" s="17" t="n">
        <f aca="false">IF(ISNUMBER(SEARCH("R01",$AD38)),1,0)</f>
        <v>0</v>
      </c>
      <c r="AG38" s="17" t="n">
        <f aca="false">IF(ISNUMBER(SEARCH("R02R03",$AD38)),1,0)</f>
        <v>0</v>
      </c>
      <c r="AH38" s="17" t="n">
        <f aca="false">IF(ISNUMBER(SEARCH("R04",$AD38)),1,0)</f>
        <v>0</v>
      </c>
      <c r="AI38" s="17" t="n">
        <f aca="false">IF(ISNUMBER(SEARCH("R05",$AD38)),1,0)</f>
        <v>0</v>
      </c>
      <c r="AJ38" s="17" t="n">
        <f aca="false">IF(ISNUMBER(SEARCH("S3R06",$AD38)),1,0)</f>
        <v>0</v>
      </c>
      <c r="AK38" s="17" t="n">
        <f aca="false">IF(ISNUMBER(SEARCH("R07",$AD38)),1,0)</f>
        <v>0</v>
      </c>
      <c r="AL38" s="17" t="n">
        <f aca="false">IF(ISNUMBER(SEARCH("R09",$AD38)),1,0)</f>
        <v>0</v>
      </c>
      <c r="AM38" s="17" t="n">
        <f aca="false">IF(ISNUMBER(SEARCH("R10",$AD38)),1,0)</f>
        <v>0</v>
      </c>
      <c r="AN38" s="17" t="n">
        <f aca="false">IF(ISNUMBER(SEARCH("S5",$AD38)),1,0)</f>
        <v>1</v>
      </c>
      <c r="AO38" s="17" t="n">
        <f aca="false">IF(ISNUMBER(SEARCH("S6",$AD38)),1,0)</f>
        <v>0</v>
      </c>
      <c r="AP38" s="17" t="n">
        <f aca="false">IF(ISNUMBER(SEARCH("TR",$AD38)),1,0)</f>
        <v>0</v>
      </c>
    </row>
    <row r="39" customFormat="false" ht="135.75" hidden="false" customHeight="true" outlineLevel="0" collapsed="false">
      <c r="A39" s="4" t="s">
        <v>378</v>
      </c>
      <c r="B39" s="4" t="s">
        <v>315</v>
      </c>
      <c r="C39" s="4" t="s">
        <v>343</v>
      </c>
      <c r="D39" s="4" t="s">
        <v>379</v>
      </c>
      <c r="E39" s="4" t="s">
        <v>66</v>
      </c>
      <c r="F39" s="4" t="s">
        <v>345</v>
      </c>
      <c r="G39" s="4" t="s">
        <v>76</v>
      </c>
      <c r="H39" s="4" t="s">
        <v>156</v>
      </c>
      <c r="I39" s="4" t="s">
        <v>77</v>
      </c>
      <c r="J39" s="4" t="s">
        <v>107</v>
      </c>
      <c r="K39" s="4" t="s">
        <v>380</v>
      </c>
      <c r="L39" s="4" t="s">
        <v>48</v>
      </c>
      <c r="M39" s="4" t="s">
        <v>49</v>
      </c>
      <c r="N39" s="4" t="s">
        <v>61</v>
      </c>
      <c r="O39" s="4" t="s">
        <v>381</v>
      </c>
      <c r="P39" s="4" t="s">
        <v>347</v>
      </c>
      <c r="Q39" s="4" t="s">
        <v>51</v>
      </c>
      <c r="R39" s="4" t="s">
        <v>382</v>
      </c>
      <c r="S39" s="16" t="n">
        <f aca="false">IF(ISNUMBER(SEARCH("E0",$H39)),1,0)</f>
        <v>0</v>
      </c>
      <c r="T39" s="16" t="n">
        <f aca="false">IF(ISNUMBER(SEARCH("E1",$H39)),1,0)</f>
        <v>0</v>
      </c>
      <c r="U39" s="16" t="n">
        <f aca="false">IF(ISNUMBER(SEARCH("E2",$H39)),1,0)</f>
        <v>0</v>
      </c>
      <c r="V39" s="16" t="n">
        <f aca="false">IF(ISNUMBER(SEARCH("E3",$H39)),1,0)</f>
        <v>0</v>
      </c>
      <c r="W39" s="16" t="n">
        <f aca="false">IF(ISNUMBER(SEARCH("E4",$H39)),1,0)</f>
        <v>0</v>
      </c>
      <c r="X39" s="16" t="n">
        <f aca="false">IF(ISNUMBER(SEARCH("E5",$H39)),1,0)</f>
        <v>0</v>
      </c>
      <c r="Y39" s="16" t="n">
        <f aca="false">IF(ISNUMBER(SEARCH("E6",$H39)),1,0)</f>
        <v>0</v>
      </c>
      <c r="Z39" s="16" t="n">
        <f aca="false">IF(ISNUMBER(SEARCH("E7",$H39)),1,0)</f>
        <v>0</v>
      </c>
      <c r="AA39" s="16" t="n">
        <f aca="false">IF(ISNUMBER(SEARCH("E8",$H39)),1,0)</f>
        <v>1</v>
      </c>
      <c r="AB39" s="16" t="n">
        <f aca="false">IF(ISNUMBER(SEARCH("E9",$H39)),1,0)</f>
        <v>0</v>
      </c>
      <c r="AC39" s="16" t="n">
        <f aca="false">IF(ISNUMBER(SEARCH("TR",$H39)),1,0)</f>
        <v>0</v>
      </c>
      <c r="AD39" s="10" t="s">
        <v>191</v>
      </c>
      <c r="AE39" s="17" t="n">
        <f aca="false">IF(ISNUMBER(SEARCH("S0",$AD39)),1,0)</f>
        <v>0</v>
      </c>
      <c r="AF39" s="17" t="n">
        <f aca="false">IF(ISNUMBER(SEARCH("R01",$AD39)),1,0)</f>
        <v>0</v>
      </c>
      <c r="AG39" s="17" t="n">
        <f aca="false">IF(ISNUMBER(SEARCH("R02R03",$AD39)),1,0)</f>
        <v>0</v>
      </c>
      <c r="AH39" s="17" t="n">
        <f aca="false">IF(ISNUMBER(SEARCH("R04",$AD39)),1,0)</f>
        <v>0</v>
      </c>
      <c r="AI39" s="17" t="n">
        <f aca="false">IF(ISNUMBER(SEARCH("R05",$AD39)),1,0)</f>
        <v>0</v>
      </c>
      <c r="AJ39" s="17" t="n">
        <f aca="false">IF(ISNUMBER(SEARCH("S3R06",$AD39)),1,0)</f>
        <v>0</v>
      </c>
      <c r="AK39" s="17" t="n">
        <f aca="false">IF(ISNUMBER(SEARCH("R07",$AD39)),1,0)</f>
        <v>0</v>
      </c>
      <c r="AL39" s="17" t="n">
        <f aca="false">IF(ISNUMBER(SEARCH("R09",$AD39)),1,0)</f>
        <v>0</v>
      </c>
      <c r="AM39" s="17" t="n">
        <f aca="false">IF(ISNUMBER(SEARCH("R10",$AD39)),1,0)</f>
        <v>0</v>
      </c>
      <c r="AN39" s="17" t="n">
        <f aca="false">IF(ISNUMBER(SEARCH("S5",$AD39)),1,0)</f>
        <v>1</v>
      </c>
      <c r="AO39" s="17" t="n">
        <f aca="false">IF(ISNUMBER(SEARCH("S6",$AD39)),1,0)</f>
        <v>0</v>
      </c>
      <c r="AP39" s="17" t="n">
        <f aca="false">IF(ISNUMBER(SEARCH("TR",$AD39)),1,0)</f>
        <v>0</v>
      </c>
    </row>
    <row r="40" customFormat="false" ht="180" hidden="false" customHeight="true" outlineLevel="0" collapsed="false">
      <c r="A40" s="4" t="s">
        <v>383</v>
      </c>
      <c r="B40" s="4" t="s">
        <v>315</v>
      </c>
      <c r="C40" s="4" t="s">
        <v>384</v>
      </c>
      <c r="D40" s="4" t="s">
        <v>273</v>
      </c>
      <c r="E40" s="4" t="s">
        <v>66</v>
      </c>
      <c r="F40" s="4" t="s">
        <v>345</v>
      </c>
      <c r="G40" s="4" t="s">
        <v>76</v>
      </c>
      <c r="H40" s="4" t="s">
        <v>139</v>
      </c>
      <c r="I40" s="4" t="s">
        <v>93</v>
      </c>
      <c r="J40" s="4" t="s">
        <v>107</v>
      </c>
      <c r="K40" s="4" t="s">
        <v>385</v>
      </c>
      <c r="L40" s="4" t="s">
        <v>48</v>
      </c>
      <c r="M40" s="4" t="s">
        <v>49</v>
      </c>
      <c r="N40" s="4" t="s">
        <v>50</v>
      </c>
      <c r="O40" s="4" t="s">
        <v>386</v>
      </c>
      <c r="P40" s="4" t="s">
        <v>347</v>
      </c>
      <c r="Q40" s="4" t="s">
        <v>51</v>
      </c>
      <c r="R40" s="4" t="s">
        <v>387</v>
      </c>
      <c r="S40" s="16" t="n">
        <f aca="false">IF(ISNUMBER(SEARCH("E0",$H40)),1,0)</f>
        <v>1</v>
      </c>
      <c r="T40" s="16" t="n">
        <f aca="false">IF(ISNUMBER(SEARCH("E1",$H40)),1,0)</f>
        <v>0</v>
      </c>
      <c r="U40" s="16" t="n">
        <f aca="false">IF(ISNUMBER(SEARCH("E2",$H40)),1,0)</f>
        <v>0</v>
      </c>
      <c r="V40" s="16" t="n">
        <f aca="false">IF(ISNUMBER(SEARCH("E3",$H40)),1,0)</f>
        <v>0</v>
      </c>
      <c r="W40" s="16" t="n">
        <f aca="false">IF(ISNUMBER(SEARCH("E4",$H40)),1,0)</f>
        <v>0</v>
      </c>
      <c r="X40" s="16" t="n">
        <f aca="false">IF(ISNUMBER(SEARCH("E5",$H40)),1,0)</f>
        <v>0</v>
      </c>
      <c r="Y40" s="16" t="n">
        <f aca="false">IF(ISNUMBER(SEARCH("E6",$H40)),1,0)</f>
        <v>0</v>
      </c>
      <c r="Z40" s="16" t="n">
        <f aca="false">IF(ISNUMBER(SEARCH("E7",$H40)),1,0)</f>
        <v>0</v>
      </c>
      <c r="AA40" s="16" t="n">
        <f aca="false">IF(ISNUMBER(SEARCH("E8",$H40)),1,0)</f>
        <v>0</v>
      </c>
      <c r="AB40" s="16" t="n">
        <f aca="false">IF(ISNUMBER(SEARCH("E9",$H40)),1,0)</f>
        <v>0</v>
      </c>
      <c r="AC40" s="16" t="n">
        <f aca="false">IF(ISNUMBER(SEARCH("TR",$H40)),1,0)</f>
        <v>0</v>
      </c>
      <c r="AD40" s="10" t="s">
        <v>182</v>
      </c>
      <c r="AE40" s="17" t="n">
        <f aca="false">IF(ISNUMBER(SEARCH("S0",$AD40)),1,0)</f>
        <v>1</v>
      </c>
      <c r="AF40" s="17" t="n">
        <f aca="false">IF(ISNUMBER(SEARCH("R01",$AD40)),1,0)</f>
        <v>0</v>
      </c>
      <c r="AG40" s="17" t="n">
        <f aca="false">IF(ISNUMBER(SEARCH("R02R03",$AD40)),1,0)</f>
        <v>0</v>
      </c>
      <c r="AH40" s="17" t="n">
        <f aca="false">IF(ISNUMBER(SEARCH("R04",$AD40)),1,0)</f>
        <v>0</v>
      </c>
      <c r="AI40" s="17" t="n">
        <f aca="false">IF(ISNUMBER(SEARCH("R05",$AD40)),1,0)</f>
        <v>0</v>
      </c>
      <c r="AJ40" s="17" t="n">
        <f aca="false">IF(ISNUMBER(SEARCH("S3R06",$AD40)),1,0)</f>
        <v>0</v>
      </c>
      <c r="AK40" s="17" t="n">
        <f aca="false">IF(ISNUMBER(SEARCH("R07",$AD40)),1,0)</f>
        <v>0</v>
      </c>
      <c r="AL40" s="17" t="n">
        <f aca="false">IF(ISNUMBER(SEARCH("R09",$AD40)),1,0)</f>
        <v>0</v>
      </c>
      <c r="AM40" s="17" t="n">
        <f aca="false">IF(ISNUMBER(SEARCH("R10",$AD40)),1,0)</f>
        <v>0</v>
      </c>
      <c r="AN40" s="17" t="n">
        <f aca="false">IF(ISNUMBER(SEARCH("S5",$AD40)),1,0)</f>
        <v>0</v>
      </c>
      <c r="AO40" s="17" t="n">
        <f aca="false">IF(ISNUMBER(SEARCH("S6",$AD40)),1,0)</f>
        <v>0</v>
      </c>
      <c r="AP40" s="17" t="n">
        <f aca="false">IF(ISNUMBER(SEARCH("TR",$AD40)),1,0)</f>
        <v>0</v>
      </c>
    </row>
    <row r="41" customFormat="false" ht="34.5" hidden="false" customHeight="true" outlineLevel="0" collapsed="false">
      <c r="A41" s="4" t="s">
        <v>388</v>
      </c>
      <c r="B41" s="4" t="s">
        <v>389</v>
      </c>
      <c r="C41" s="4" t="s">
        <v>390</v>
      </c>
      <c r="D41" s="4" t="s">
        <v>391</v>
      </c>
      <c r="E41" s="4" t="s">
        <v>44</v>
      </c>
      <c r="F41" s="4" t="s">
        <v>392</v>
      </c>
      <c r="G41" s="4" t="s">
        <v>45</v>
      </c>
      <c r="H41" s="4" t="s">
        <v>393</v>
      </c>
      <c r="I41" s="4" t="s">
        <v>46</v>
      </c>
      <c r="J41" s="4" t="s">
        <v>47</v>
      </c>
      <c r="K41" s="4" t="s">
        <v>198</v>
      </c>
      <c r="L41" s="4" t="s">
        <v>95</v>
      </c>
      <c r="M41" s="4" t="s">
        <v>49</v>
      </c>
      <c r="N41" s="4" t="s">
        <v>61</v>
      </c>
      <c r="O41" s="4" t="s">
        <v>394</v>
      </c>
      <c r="P41" s="4" t="s">
        <v>395</v>
      </c>
      <c r="Q41" s="4" t="s">
        <v>51</v>
      </c>
      <c r="R41" s="4" t="s">
        <v>396</v>
      </c>
      <c r="S41" s="16" t="n">
        <f aca="false">IF(ISNUMBER(SEARCH("E0",$H41)),1,0)</f>
        <v>1</v>
      </c>
      <c r="T41" s="16" t="n">
        <f aca="false">IF(ISNUMBER(SEARCH("E1",$H41)),1,0)</f>
        <v>0</v>
      </c>
      <c r="U41" s="16" t="n">
        <f aca="false">IF(ISNUMBER(SEARCH("E2",$H41)),1,0)</f>
        <v>0</v>
      </c>
      <c r="V41" s="16" t="n">
        <f aca="false">IF(ISNUMBER(SEARCH("E3",$H41)),1,0)</f>
        <v>0</v>
      </c>
      <c r="W41" s="16" t="n">
        <f aca="false">IF(ISNUMBER(SEARCH("E4",$H41)),1,0)</f>
        <v>1</v>
      </c>
      <c r="X41" s="16" t="n">
        <f aca="false">IF(ISNUMBER(SEARCH("E5",$H41)),1,0)</f>
        <v>0</v>
      </c>
      <c r="Y41" s="16" t="n">
        <f aca="false">IF(ISNUMBER(SEARCH("E6",$H41)),1,0)</f>
        <v>0</v>
      </c>
      <c r="Z41" s="16" t="n">
        <f aca="false">IF(ISNUMBER(SEARCH("E7",$H41)),1,0)</f>
        <v>0</v>
      </c>
      <c r="AA41" s="16" t="n">
        <f aca="false">IF(ISNUMBER(SEARCH("E8",$H41)),1,0)</f>
        <v>0</v>
      </c>
      <c r="AB41" s="16" t="n">
        <f aca="false">IF(ISNUMBER(SEARCH("E9",$H41)),1,0)</f>
        <v>1</v>
      </c>
      <c r="AC41" s="16" t="n">
        <f aca="false">IF(ISNUMBER(SEARCH("TR",$H41)),1,0)</f>
        <v>0</v>
      </c>
      <c r="AD41" s="10" t="s">
        <v>397</v>
      </c>
      <c r="AE41" s="17" t="n">
        <f aca="false">IF(ISNUMBER(SEARCH("S0",$AD41)),1,0)</f>
        <v>1</v>
      </c>
      <c r="AF41" s="17" t="n">
        <f aca="false">IF(ISNUMBER(SEARCH("R01",$AD41)),1,0)</f>
        <v>0</v>
      </c>
      <c r="AG41" s="17" t="n">
        <f aca="false">IF(ISNUMBER(SEARCH("R02R03",$AD41)),1,0)</f>
        <v>0</v>
      </c>
      <c r="AH41" s="17" t="n">
        <f aca="false">IF(ISNUMBER(SEARCH("R04",$AD41)),1,0)</f>
        <v>0</v>
      </c>
      <c r="AI41" s="17" t="n">
        <f aca="false">IF(ISNUMBER(SEARCH("R05",$AD41)),1,0)</f>
        <v>1</v>
      </c>
      <c r="AJ41" s="17" t="n">
        <f aca="false">IF(ISNUMBER(SEARCH("S3R06",$AD41)),1,0)</f>
        <v>0</v>
      </c>
      <c r="AK41" s="17" t="n">
        <f aca="false">IF(ISNUMBER(SEARCH("R07",$AD41)),1,0)</f>
        <v>0</v>
      </c>
      <c r="AL41" s="17" t="n">
        <f aca="false">IF(ISNUMBER(SEARCH("R09",$AD41)),1,0)</f>
        <v>0</v>
      </c>
      <c r="AM41" s="17" t="n">
        <f aca="false">IF(ISNUMBER(SEARCH("R10",$AD41)),1,0)</f>
        <v>0</v>
      </c>
      <c r="AN41" s="17" t="n">
        <f aca="false">IF(ISNUMBER(SEARCH("S5",$AD41)),1,0)</f>
        <v>0</v>
      </c>
      <c r="AO41" s="17" t="n">
        <f aca="false">IF(ISNUMBER(SEARCH("S6",$AD41)),1,0)</f>
        <v>1</v>
      </c>
      <c r="AP41" s="17" t="n">
        <f aca="false">IF(ISNUMBER(SEARCH("TR",$AD41)),1,0)</f>
        <v>0</v>
      </c>
    </row>
    <row r="42" customFormat="false" ht="34.5" hidden="false" customHeight="true" outlineLevel="0" collapsed="false">
      <c r="A42" s="4" t="s">
        <v>398</v>
      </c>
      <c r="B42" s="4" t="s">
        <v>389</v>
      </c>
      <c r="C42" s="4" t="s">
        <v>390</v>
      </c>
      <c r="D42" s="4" t="s">
        <v>399</v>
      </c>
      <c r="E42" s="4" t="s">
        <v>44</v>
      </c>
      <c r="F42" s="4" t="s">
        <v>392</v>
      </c>
      <c r="G42" s="4" t="s">
        <v>45</v>
      </c>
      <c r="H42" s="4" t="s">
        <v>400</v>
      </c>
      <c r="I42" s="4" t="s">
        <v>46</v>
      </c>
      <c r="J42" s="4" t="s">
        <v>47</v>
      </c>
      <c r="K42" s="4" t="s">
        <v>198</v>
      </c>
      <c r="L42" s="4" t="s">
        <v>95</v>
      </c>
      <c r="M42" s="4" t="s">
        <v>49</v>
      </c>
      <c r="N42" s="4" t="s">
        <v>61</v>
      </c>
      <c r="O42" s="4" t="s">
        <v>401</v>
      </c>
      <c r="P42" s="4" t="s">
        <v>395</v>
      </c>
      <c r="Q42" s="4" t="s">
        <v>51</v>
      </c>
      <c r="R42" s="4"/>
      <c r="S42" s="16" t="n">
        <f aca="false">IF(ISNUMBER(SEARCH("E0",$H42)),1,0)</f>
        <v>1</v>
      </c>
      <c r="T42" s="16" t="n">
        <f aca="false">IF(ISNUMBER(SEARCH("E1",$H42)),1,0)</f>
        <v>0</v>
      </c>
      <c r="U42" s="16" t="n">
        <f aca="false">IF(ISNUMBER(SEARCH("E2",$H42)),1,0)</f>
        <v>0</v>
      </c>
      <c r="V42" s="16" t="n">
        <f aca="false">IF(ISNUMBER(SEARCH("E3",$H42)),1,0)</f>
        <v>1</v>
      </c>
      <c r="W42" s="16" t="n">
        <f aca="false">IF(ISNUMBER(SEARCH("E4",$H42)),1,0)</f>
        <v>1</v>
      </c>
      <c r="X42" s="16" t="n">
        <f aca="false">IF(ISNUMBER(SEARCH("E5",$H42)),1,0)</f>
        <v>0</v>
      </c>
      <c r="Y42" s="16" t="n">
        <f aca="false">IF(ISNUMBER(SEARCH("E6",$H42)),1,0)</f>
        <v>0</v>
      </c>
      <c r="Z42" s="16" t="n">
        <f aca="false">IF(ISNUMBER(SEARCH("E7",$H42)),1,0)</f>
        <v>0</v>
      </c>
      <c r="AA42" s="16" t="n">
        <f aca="false">IF(ISNUMBER(SEARCH("E8",$H42)),1,0)</f>
        <v>0</v>
      </c>
      <c r="AB42" s="16" t="n">
        <f aca="false">IF(ISNUMBER(SEARCH("E9",$H42)),1,0)</f>
        <v>1</v>
      </c>
      <c r="AC42" s="16" t="n">
        <f aca="false">IF(ISNUMBER(SEARCH("TR",$H42)),1,0)</f>
        <v>0</v>
      </c>
      <c r="AD42" s="10" t="s">
        <v>402</v>
      </c>
      <c r="AE42" s="17" t="n">
        <f aca="false">IF(ISNUMBER(SEARCH("S0",$AD42)),1,0)</f>
        <v>1</v>
      </c>
      <c r="AF42" s="17" t="n">
        <f aca="false">IF(ISNUMBER(SEARCH("R01",$AD42)),1,0)</f>
        <v>0</v>
      </c>
      <c r="AG42" s="17" t="n">
        <f aca="false">IF(ISNUMBER(SEARCH("R02R03",$AD42)),1,0)</f>
        <v>0</v>
      </c>
      <c r="AH42" s="17" t="n">
        <f aca="false">IF(ISNUMBER(SEARCH("R04",$AD42)),1,0)</f>
        <v>1</v>
      </c>
      <c r="AI42" s="17" t="n">
        <f aca="false">IF(ISNUMBER(SEARCH("R05",$AD42)),1,0)</f>
        <v>1</v>
      </c>
      <c r="AJ42" s="17" t="n">
        <f aca="false">IF(ISNUMBER(SEARCH("S3R06",$AD42)),1,0)</f>
        <v>0</v>
      </c>
      <c r="AK42" s="17" t="n">
        <f aca="false">IF(ISNUMBER(SEARCH("R07",$AD42)),1,0)</f>
        <v>0</v>
      </c>
      <c r="AL42" s="17" t="n">
        <f aca="false">IF(ISNUMBER(SEARCH("R09",$AD42)),1,0)</f>
        <v>0</v>
      </c>
      <c r="AM42" s="17" t="n">
        <f aca="false">IF(ISNUMBER(SEARCH("R10",$AD42)),1,0)</f>
        <v>0</v>
      </c>
      <c r="AN42" s="17" t="n">
        <f aca="false">IF(ISNUMBER(SEARCH("S5",$AD42)),1,0)</f>
        <v>0</v>
      </c>
      <c r="AO42" s="17" t="n">
        <f aca="false">IF(ISNUMBER(SEARCH("S6",$AD42)),1,0)</f>
        <v>1</v>
      </c>
      <c r="AP42" s="17" t="n">
        <f aca="false">IF(ISNUMBER(SEARCH("TR",$AD42)),1,0)</f>
        <v>0</v>
      </c>
    </row>
    <row r="43" customFormat="false" ht="45.75" hidden="false" customHeight="true" outlineLevel="0" collapsed="false">
      <c r="A43" s="4" t="s">
        <v>403</v>
      </c>
      <c r="B43" s="4" t="s">
        <v>389</v>
      </c>
      <c r="C43" s="4" t="s">
        <v>390</v>
      </c>
      <c r="D43" s="4" t="s">
        <v>404</v>
      </c>
      <c r="E43" s="4" t="s">
        <v>44</v>
      </c>
      <c r="F43" s="4" t="s">
        <v>392</v>
      </c>
      <c r="G43" s="4" t="s">
        <v>92</v>
      </c>
      <c r="H43" s="4" t="s">
        <v>393</v>
      </c>
      <c r="I43" s="4" t="s">
        <v>99</v>
      </c>
      <c r="J43" s="4" t="s">
        <v>47</v>
      </c>
      <c r="K43" s="4" t="s">
        <v>198</v>
      </c>
      <c r="L43" s="4" t="s">
        <v>95</v>
      </c>
      <c r="M43" s="4" t="s">
        <v>49</v>
      </c>
      <c r="N43" s="4" t="s">
        <v>61</v>
      </c>
      <c r="O43" s="4" t="s">
        <v>405</v>
      </c>
      <c r="P43" s="4" t="s">
        <v>395</v>
      </c>
      <c r="Q43" s="4" t="s">
        <v>51</v>
      </c>
      <c r="R43" s="4" t="s">
        <v>406</v>
      </c>
      <c r="S43" s="16" t="n">
        <f aca="false">IF(ISNUMBER(SEARCH("E0",$H43)),1,0)</f>
        <v>1</v>
      </c>
      <c r="T43" s="16" t="n">
        <f aca="false">IF(ISNUMBER(SEARCH("E1",$H43)),1,0)</f>
        <v>0</v>
      </c>
      <c r="U43" s="16" t="n">
        <f aca="false">IF(ISNUMBER(SEARCH("E2",$H43)),1,0)</f>
        <v>0</v>
      </c>
      <c r="V43" s="16" t="n">
        <f aca="false">IF(ISNUMBER(SEARCH("E3",$H43)),1,0)</f>
        <v>0</v>
      </c>
      <c r="W43" s="16" t="n">
        <f aca="false">IF(ISNUMBER(SEARCH("E4",$H43)),1,0)</f>
        <v>1</v>
      </c>
      <c r="X43" s="16" t="n">
        <f aca="false">IF(ISNUMBER(SEARCH("E5",$H43)),1,0)</f>
        <v>0</v>
      </c>
      <c r="Y43" s="16" t="n">
        <f aca="false">IF(ISNUMBER(SEARCH("E6",$H43)),1,0)</f>
        <v>0</v>
      </c>
      <c r="Z43" s="16" t="n">
        <f aca="false">IF(ISNUMBER(SEARCH("E7",$H43)),1,0)</f>
        <v>0</v>
      </c>
      <c r="AA43" s="16" t="n">
        <f aca="false">IF(ISNUMBER(SEARCH("E8",$H43)),1,0)</f>
        <v>0</v>
      </c>
      <c r="AB43" s="16" t="n">
        <f aca="false">IF(ISNUMBER(SEARCH("E9",$H43)),1,0)</f>
        <v>1</v>
      </c>
      <c r="AC43" s="16" t="n">
        <f aca="false">IF(ISNUMBER(SEARCH("TR",$H43)),1,0)</f>
        <v>0</v>
      </c>
      <c r="AD43" s="10" t="s">
        <v>397</v>
      </c>
      <c r="AE43" s="17" t="n">
        <f aca="false">IF(ISNUMBER(SEARCH("S0",$AD43)),1,0)</f>
        <v>1</v>
      </c>
      <c r="AF43" s="17" t="n">
        <f aca="false">IF(ISNUMBER(SEARCH("R01",$AD43)),1,0)</f>
        <v>0</v>
      </c>
      <c r="AG43" s="17" t="n">
        <f aca="false">IF(ISNUMBER(SEARCH("R02R03",$AD43)),1,0)</f>
        <v>0</v>
      </c>
      <c r="AH43" s="17" t="n">
        <f aca="false">IF(ISNUMBER(SEARCH("R04",$AD43)),1,0)</f>
        <v>0</v>
      </c>
      <c r="AI43" s="17" t="n">
        <f aca="false">IF(ISNUMBER(SEARCH("R05",$AD43)),1,0)</f>
        <v>1</v>
      </c>
      <c r="AJ43" s="17" t="n">
        <f aca="false">IF(ISNUMBER(SEARCH("S3R06",$AD43)),1,0)</f>
        <v>0</v>
      </c>
      <c r="AK43" s="17" t="n">
        <f aca="false">IF(ISNUMBER(SEARCH("R07",$AD43)),1,0)</f>
        <v>0</v>
      </c>
      <c r="AL43" s="17" t="n">
        <f aca="false">IF(ISNUMBER(SEARCH("R09",$AD43)),1,0)</f>
        <v>0</v>
      </c>
      <c r="AM43" s="17" t="n">
        <f aca="false">IF(ISNUMBER(SEARCH("R10",$AD43)),1,0)</f>
        <v>0</v>
      </c>
      <c r="AN43" s="17" t="n">
        <f aca="false">IF(ISNUMBER(SEARCH("S5",$AD43)),1,0)</f>
        <v>0</v>
      </c>
      <c r="AO43" s="17" t="n">
        <f aca="false">IF(ISNUMBER(SEARCH("S6",$AD43)),1,0)</f>
        <v>1</v>
      </c>
      <c r="AP43" s="17" t="n">
        <f aca="false">IF(ISNUMBER(SEARCH("TR",$AD43)),1,0)</f>
        <v>0</v>
      </c>
    </row>
    <row r="44" customFormat="false" ht="34.5" hidden="false" customHeight="true" outlineLevel="0" collapsed="false">
      <c r="A44" s="4" t="s">
        <v>407</v>
      </c>
      <c r="B44" s="4" t="s">
        <v>389</v>
      </c>
      <c r="C44" s="4" t="s">
        <v>390</v>
      </c>
      <c r="D44" s="4" t="s">
        <v>408</v>
      </c>
      <c r="E44" s="4" t="s">
        <v>44</v>
      </c>
      <c r="F44" s="4" t="s">
        <v>392</v>
      </c>
      <c r="G44" s="4" t="s">
        <v>92</v>
      </c>
      <c r="H44" s="4" t="s">
        <v>409</v>
      </c>
      <c r="I44" s="4" t="s">
        <v>68</v>
      </c>
      <c r="J44" s="4" t="s">
        <v>47</v>
      </c>
      <c r="K44" s="4" t="s">
        <v>198</v>
      </c>
      <c r="L44" s="4" t="s">
        <v>95</v>
      </c>
      <c r="M44" s="4" t="s">
        <v>49</v>
      </c>
      <c r="N44" s="4" t="s">
        <v>61</v>
      </c>
      <c r="O44" s="4" t="s">
        <v>410</v>
      </c>
      <c r="P44" s="4" t="s">
        <v>395</v>
      </c>
      <c r="Q44" s="4" t="s">
        <v>51</v>
      </c>
      <c r="R44" s="4" t="s">
        <v>411</v>
      </c>
      <c r="S44" s="16" t="n">
        <f aca="false">IF(ISNUMBER(SEARCH("E0",$H44)),1,0)</f>
        <v>0</v>
      </c>
      <c r="T44" s="16" t="n">
        <f aca="false">IF(ISNUMBER(SEARCH("E1",$H44)),1,0)</f>
        <v>0</v>
      </c>
      <c r="U44" s="16" t="n">
        <f aca="false">IF(ISNUMBER(SEARCH("E2",$H44)),1,0)</f>
        <v>0</v>
      </c>
      <c r="V44" s="16" t="n">
        <f aca="false">IF(ISNUMBER(SEARCH("E3",$H44)),1,0)</f>
        <v>0</v>
      </c>
      <c r="W44" s="16" t="n">
        <f aca="false">IF(ISNUMBER(SEARCH("E4",$H44)),1,0)</f>
        <v>1</v>
      </c>
      <c r="X44" s="16" t="n">
        <f aca="false">IF(ISNUMBER(SEARCH("E5",$H44)),1,0)</f>
        <v>1</v>
      </c>
      <c r="Y44" s="16" t="n">
        <f aca="false">IF(ISNUMBER(SEARCH("E6",$H44)),1,0)</f>
        <v>0</v>
      </c>
      <c r="Z44" s="16" t="n">
        <f aca="false">IF(ISNUMBER(SEARCH("E7",$H44)),1,0)</f>
        <v>0</v>
      </c>
      <c r="AA44" s="16" t="n">
        <f aca="false">IF(ISNUMBER(SEARCH("E8",$H44)),1,0)</f>
        <v>0</v>
      </c>
      <c r="AB44" s="16" t="n">
        <f aca="false">IF(ISNUMBER(SEARCH("E9",$H44)),1,0)</f>
        <v>1</v>
      </c>
      <c r="AC44" s="16" t="n">
        <f aca="false">IF(ISNUMBER(SEARCH("TR",$H44)),1,0)</f>
        <v>0</v>
      </c>
      <c r="AD44" s="10" t="s">
        <v>412</v>
      </c>
      <c r="AE44" s="17" t="n">
        <f aca="false">IF(ISNUMBER(SEARCH("S0",$AD44)),1,0)</f>
        <v>0</v>
      </c>
      <c r="AF44" s="17" t="n">
        <f aca="false">IF(ISNUMBER(SEARCH("R01",$AD44)),1,0)</f>
        <v>0</v>
      </c>
      <c r="AG44" s="17" t="n">
        <f aca="false">IF(ISNUMBER(SEARCH("R02R03",$AD44)),1,0)</f>
        <v>0</v>
      </c>
      <c r="AH44" s="17" t="n">
        <f aca="false">IF(ISNUMBER(SEARCH("R04",$AD44)),1,0)</f>
        <v>0</v>
      </c>
      <c r="AI44" s="17" t="n">
        <f aca="false">IF(ISNUMBER(SEARCH("R05",$AD44)),1,0)</f>
        <v>1</v>
      </c>
      <c r="AJ44" s="17" t="n">
        <f aca="false">IF(ISNUMBER(SEARCH("S3R06",$AD44)),1,0)</f>
        <v>1</v>
      </c>
      <c r="AK44" s="17" t="n">
        <f aca="false">IF(ISNUMBER(SEARCH("R07",$AD44)),1,0)</f>
        <v>0</v>
      </c>
      <c r="AL44" s="17" t="n">
        <f aca="false">IF(ISNUMBER(SEARCH("R09",$AD44)),1,0)</f>
        <v>0</v>
      </c>
      <c r="AM44" s="17" t="n">
        <f aca="false">IF(ISNUMBER(SEARCH("R10",$AD44)),1,0)</f>
        <v>0</v>
      </c>
      <c r="AN44" s="17" t="n">
        <f aca="false">IF(ISNUMBER(SEARCH("S5",$AD44)),1,0)</f>
        <v>0</v>
      </c>
      <c r="AO44" s="17" t="n">
        <f aca="false">IF(ISNUMBER(SEARCH("S6",$AD44)),1,0)</f>
        <v>1</v>
      </c>
      <c r="AP44" s="17" t="n">
        <f aca="false">IF(ISNUMBER(SEARCH("TR",$AD44)),1,0)</f>
        <v>0</v>
      </c>
    </row>
    <row r="45" customFormat="false" ht="34.5" hidden="false" customHeight="true" outlineLevel="0" collapsed="false">
      <c r="A45" s="4" t="s">
        <v>413</v>
      </c>
      <c r="B45" s="4" t="s">
        <v>389</v>
      </c>
      <c r="C45" s="4" t="s">
        <v>390</v>
      </c>
      <c r="D45" s="4" t="s">
        <v>414</v>
      </c>
      <c r="E45" s="4" t="s">
        <v>44</v>
      </c>
      <c r="F45" s="4" t="s">
        <v>392</v>
      </c>
      <c r="G45" s="4" t="s">
        <v>92</v>
      </c>
      <c r="H45" s="4" t="s">
        <v>409</v>
      </c>
      <c r="I45" s="4" t="s">
        <v>68</v>
      </c>
      <c r="J45" s="4" t="s">
        <v>47</v>
      </c>
      <c r="K45" s="4" t="s">
        <v>198</v>
      </c>
      <c r="L45" s="4" t="s">
        <v>95</v>
      </c>
      <c r="M45" s="4" t="s">
        <v>49</v>
      </c>
      <c r="N45" s="4" t="s">
        <v>61</v>
      </c>
      <c r="O45" s="4" t="s">
        <v>415</v>
      </c>
      <c r="P45" s="4" t="s">
        <v>395</v>
      </c>
      <c r="Q45" s="4" t="s">
        <v>51</v>
      </c>
      <c r="R45" s="4" t="s">
        <v>416</v>
      </c>
      <c r="S45" s="16" t="n">
        <f aca="false">IF(ISNUMBER(SEARCH("E0",$H45)),1,0)</f>
        <v>0</v>
      </c>
      <c r="T45" s="16" t="n">
        <f aca="false">IF(ISNUMBER(SEARCH("E1",$H45)),1,0)</f>
        <v>0</v>
      </c>
      <c r="U45" s="16" t="n">
        <f aca="false">IF(ISNUMBER(SEARCH("E2",$H45)),1,0)</f>
        <v>0</v>
      </c>
      <c r="V45" s="16" t="n">
        <f aca="false">IF(ISNUMBER(SEARCH("E3",$H45)),1,0)</f>
        <v>0</v>
      </c>
      <c r="W45" s="16" t="n">
        <f aca="false">IF(ISNUMBER(SEARCH("E4",$H45)),1,0)</f>
        <v>1</v>
      </c>
      <c r="X45" s="16" t="n">
        <f aca="false">IF(ISNUMBER(SEARCH("E5",$H45)),1,0)</f>
        <v>1</v>
      </c>
      <c r="Y45" s="16" t="n">
        <f aca="false">IF(ISNUMBER(SEARCH("E6",$H45)),1,0)</f>
        <v>0</v>
      </c>
      <c r="Z45" s="16" t="n">
        <f aca="false">IF(ISNUMBER(SEARCH("E7",$H45)),1,0)</f>
        <v>0</v>
      </c>
      <c r="AA45" s="16" t="n">
        <f aca="false">IF(ISNUMBER(SEARCH("E8",$H45)),1,0)</f>
        <v>0</v>
      </c>
      <c r="AB45" s="16" t="n">
        <f aca="false">IF(ISNUMBER(SEARCH("E9",$H45)),1,0)</f>
        <v>1</v>
      </c>
      <c r="AC45" s="16" t="n">
        <f aca="false">IF(ISNUMBER(SEARCH("TR",$H45)),1,0)</f>
        <v>0</v>
      </c>
      <c r="AD45" s="10" t="s">
        <v>412</v>
      </c>
      <c r="AE45" s="17" t="n">
        <f aca="false">IF(ISNUMBER(SEARCH("S0",$AD45)),1,0)</f>
        <v>0</v>
      </c>
      <c r="AF45" s="17" t="n">
        <f aca="false">IF(ISNUMBER(SEARCH("R01",$AD45)),1,0)</f>
        <v>0</v>
      </c>
      <c r="AG45" s="17" t="n">
        <f aca="false">IF(ISNUMBER(SEARCH("R02R03",$AD45)),1,0)</f>
        <v>0</v>
      </c>
      <c r="AH45" s="17" t="n">
        <f aca="false">IF(ISNUMBER(SEARCH("R04",$AD45)),1,0)</f>
        <v>0</v>
      </c>
      <c r="AI45" s="17" t="n">
        <f aca="false">IF(ISNUMBER(SEARCH("R05",$AD45)),1,0)</f>
        <v>1</v>
      </c>
      <c r="AJ45" s="17" t="n">
        <f aca="false">IF(ISNUMBER(SEARCH("S3R06",$AD45)),1,0)</f>
        <v>1</v>
      </c>
      <c r="AK45" s="17" t="n">
        <f aca="false">IF(ISNUMBER(SEARCH("R07",$AD45)),1,0)</f>
        <v>0</v>
      </c>
      <c r="AL45" s="17" t="n">
        <f aca="false">IF(ISNUMBER(SEARCH("R09",$AD45)),1,0)</f>
        <v>0</v>
      </c>
      <c r="AM45" s="17" t="n">
        <f aca="false">IF(ISNUMBER(SEARCH("R10",$AD45)),1,0)</f>
        <v>0</v>
      </c>
      <c r="AN45" s="17" t="n">
        <f aca="false">IF(ISNUMBER(SEARCH("S5",$AD45)),1,0)</f>
        <v>0</v>
      </c>
      <c r="AO45" s="17" t="n">
        <f aca="false">IF(ISNUMBER(SEARCH("S6",$AD45)),1,0)</f>
        <v>1</v>
      </c>
      <c r="AP45" s="17" t="n">
        <f aca="false">IF(ISNUMBER(SEARCH("TR",$AD45)),1,0)</f>
        <v>0</v>
      </c>
    </row>
    <row r="46" customFormat="false" ht="34.5" hidden="false" customHeight="true" outlineLevel="0" collapsed="false">
      <c r="A46" s="4" t="s">
        <v>417</v>
      </c>
      <c r="B46" s="4" t="s">
        <v>389</v>
      </c>
      <c r="C46" s="4" t="s">
        <v>390</v>
      </c>
      <c r="D46" s="4" t="s">
        <v>238</v>
      </c>
      <c r="E46" s="4" t="s">
        <v>44</v>
      </c>
      <c r="F46" s="4" t="s">
        <v>392</v>
      </c>
      <c r="G46" s="4" t="s">
        <v>92</v>
      </c>
      <c r="H46" s="4" t="s">
        <v>418</v>
      </c>
      <c r="I46" s="4" t="s">
        <v>99</v>
      </c>
      <c r="J46" s="4" t="s">
        <v>47</v>
      </c>
      <c r="K46" s="4" t="s">
        <v>198</v>
      </c>
      <c r="L46" s="4" t="s">
        <v>95</v>
      </c>
      <c r="M46" s="4" t="s">
        <v>49</v>
      </c>
      <c r="N46" s="4" t="s">
        <v>61</v>
      </c>
      <c r="O46" s="4" t="s">
        <v>419</v>
      </c>
      <c r="P46" s="4" t="s">
        <v>395</v>
      </c>
      <c r="Q46" s="4" t="s">
        <v>51</v>
      </c>
      <c r="R46" s="4" t="s">
        <v>420</v>
      </c>
      <c r="S46" s="16" t="n">
        <f aca="false">IF(ISNUMBER(SEARCH("E0",$H46)),1,0)</f>
        <v>1</v>
      </c>
      <c r="T46" s="16" t="n">
        <f aca="false">IF(ISNUMBER(SEARCH("E1",$H46)),1,0)</f>
        <v>0</v>
      </c>
      <c r="U46" s="16" t="n">
        <f aca="false">IF(ISNUMBER(SEARCH("E2",$H46)),1,0)</f>
        <v>0</v>
      </c>
      <c r="V46" s="16" t="n">
        <f aca="false">IF(ISNUMBER(SEARCH("E3",$H46)),1,0)</f>
        <v>0</v>
      </c>
      <c r="W46" s="16" t="n">
        <f aca="false">IF(ISNUMBER(SEARCH("E4",$H46)),1,0)</f>
        <v>0</v>
      </c>
      <c r="X46" s="16" t="n">
        <f aca="false">IF(ISNUMBER(SEARCH("E5",$H46)),1,0)</f>
        <v>1</v>
      </c>
      <c r="Y46" s="16" t="n">
        <f aca="false">IF(ISNUMBER(SEARCH("E6",$H46)),1,0)</f>
        <v>0</v>
      </c>
      <c r="Z46" s="16" t="n">
        <f aca="false">IF(ISNUMBER(SEARCH("E7",$H46)),1,0)</f>
        <v>0</v>
      </c>
      <c r="AA46" s="16" t="n">
        <f aca="false">IF(ISNUMBER(SEARCH("E8",$H46)),1,0)</f>
        <v>0</v>
      </c>
      <c r="AB46" s="16" t="n">
        <f aca="false">IF(ISNUMBER(SEARCH("E9",$H46)),1,0)</f>
        <v>1</v>
      </c>
      <c r="AC46" s="16" t="n">
        <f aca="false">IF(ISNUMBER(SEARCH("TR",$H46)),1,0)</f>
        <v>0</v>
      </c>
      <c r="AD46" s="10" t="s">
        <v>421</v>
      </c>
      <c r="AE46" s="17" t="n">
        <f aca="false">IF(ISNUMBER(SEARCH("S0",$AD46)),1,0)</f>
        <v>1</v>
      </c>
      <c r="AF46" s="17" t="n">
        <f aca="false">IF(ISNUMBER(SEARCH("R01",$AD46)),1,0)</f>
        <v>0</v>
      </c>
      <c r="AG46" s="17" t="n">
        <f aca="false">IF(ISNUMBER(SEARCH("R02R03",$AD46)),1,0)</f>
        <v>0</v>
      </c>
      <c r="AH46" s="17" t="n">
        <f aca="false">IF(ISNUMBER(SEARCH("R04",$AD46)),1,0)</f>
        <v>0</v>
      </c>
      <c r="AI46" s="17" t="n">
        <f aca="false">IF(ISNUMBER(SEARCH("R05",$AD46)),1,0)</f>
        <v>0</v>
      </c>
      <c r="AJ46" s="17" t="n">
        <f aca="false">IF(ISNUMBER(SEARCH("S3R06",$AD46)),1,0)</f>
        <v>1</v>
      </c>
      <c r="AK46" s="17" t="n">
        <f aca="false">IF(ISNUMBER(SEARCH("R07",$AD46)),1,0)</f>
        <v>0</v>
      </c>
      <c r="AL46" s="17" t="n">
        <f aca="false">IF(ISNUMBER(SEARCH("R09",$AD46)),1,0)</f>
        <v>0</v>
      </c>
      <c r="AM46" s="17" t="n">
        <f aca="false">IF(ISNUMBER(SEARCH("R10",$AD46)),1,0)</f>
        <v>0</v>
      </c>
      <c r="AN46" s="17" t="n">
        <f aca="false">IF(ISNUMBER(SEARCH("S5",$AD46)),1,0)</f>
        <v>0</v>
      </c>
      <c r="AO46" s="17" t="n">
        <f aca="false">IF(ISNUMBER(SEARCH("S6",$AD46)),1,0)</f>
        <v>1</v>
      </c>
      <c r="AP46" s="17" t="n">
        <f aca="false">IF(ISNUMBER(SEARCH("TR",$AD46)),1,0)</f>
        <v>0</v>
      </c>
    </row>
    <row r="47" customFormat="false" ht="34.5" hidden="false" customHeight="true" outlineLevel="0" collapsed="false">
      <c r="A47" s="4" t="s">
        <v>422</v>
      </c>
      <c r="B47" s="4" t="s">
        <v>389</v>
      </c>
      <c r="C47" s="4" t="s">
        <v>390</v>
      </c>
      <c r="D47" s="4" t="s">
        <v>423</v>
      </c>
      <c r="E47" s="4" t="s">
        <v>44</v>
      </c>
      <c r="F47" s="4" t="s">
        <v>392</v>
      </c>
      <c r="G47" s="4" t="s">
        <v>45</v>
      </c>
      <c r="H47" s="4" t="s">
        <v>161</v>
      </c>
      <c r="I47" s="4" t="s">
        <v>99</v>
      </c>
      <c r="J47" s="4" t="s">
        <v>47</v>
      </c>
      <c r="K47" s="4" t="s">
        <v>198</v>
      </c>
      <c r="L47" s="4" t="s">
        <v>59</v>
      </c>
      <c r="M47" s="4" t="s">
        <v>49</v>
      </c>
      <c r="N47" s="4" t="s">
        <v>61</v>
      </c>
      <c r="O47" s="4" t="s">
        <v>424</v>
      </c>
      <c r="P47" s="4" t="s">
        <v>395</v>
      </c>
      <c r="Q47" s="4" t="s">
        <v>51</v>
      </c>
      <c r="R47" s="4" t="s">
        <v>425</v>
      </c>
      <c r="S47" s="16" t="n">
        <f aca="false">IF(ISNUMBER(SEARCH("E0",$H47)),1,0)</f>
        <v>0</v>
      </c>
      <c r="T47" s="16" t="n">
        <f aca="false">IF(ISNUMBER(SEARCH("E1",$H47)),1,0)</f>
        <v>0</v>
      </c>
      <c r="U47" s="16" t="n">
        <f aca="false">IF(ISNUMBER(SEARCH("E2",$H47)),1,0)</f>
        <v>0</v>
      </c>
      <c r="V47" s="16" t="n">
        <f aca="false">IF(ISNUMBER(SEARCH("E3",$H47)),1,0)</f>
        <v>0</v>
      </c>
      <c r="W47" s="16" t="n">
        <f aca="false">IF(ISNUMBER(SEARCH("E4",$H47)),1,0)</f>
        <v>0</v>
      </c>
      <c r="X47" s="16" t="n">
        <f aca="false">IF(ISNUMBER(SEARCH("E5",$H47)),1,0)</f>
        <v>0</v>
      </c>
      <c r="Y47" s="16" t="n">
        <f aca="false">IF(ISNUMBER(SEARCH("E6",$H47)),1,0)</f>
        <v>0</v>
      </c>
      <c r="Z47" s="16" t="n">
        <f aca="false">IF(ISNUMBER(SEARCH("E7",$H47)),1,0)</f>
        <v>0</v>
      </c>
      <c r="AA47" s="16" t="n">
        <f aca="false">IF(ISNUMBER(SEARCH("E8",$H47)),1,0)</f>
        <v>0</v>
      </c>
      <c r="AB47" s="16" t="n">
        <f aca="false">IF(ISNUMBER(SEARCH("E9",$H47)),1,0)</f>
        <v>0</v>
      </c>
      <c r="AC47" s="16" t="n">
        <f aca="false">IF(ISNUMBER(SEARCH("TR",$H47)),1,0)</f>
        <v>1</v>
      </c>
      <c r="AD47" s="10" t="s">
        <v>161</v>
      </c>
      <c r="AE47" s="17" t="n">
        <f aca="false">IF(ISNUMBER(SEARCH("S0",$AD47)),1,0)</f>
        <v>0</v>
      </c>
      <c r="AF47" s="17" t="n">
        <f aca="false">IF(ISNUMBER(SEARCH("R01",$AD47)),1,0)</f>
        <v>0</v>
      </c>
      <c r="AG47" s="17" t="n">
        <f aca="false">IF(ISNUMBER(SEARCH("R02R03",$AD47)),1,0)</f>
        <v>0</v>
      </c>
      <c r="AH47" s="17" t="n">
        <f aca="false">IF(ISNUMBER(SEARCH("R04",$AD47)),1,0)</f>
        <v>0</v>
      </c>
      <c r="AI47" s="17" t="n">
        <f aca="false">IF(ISNUMBER(SEARCH("R05",$AD47)),1,0)</f>
        <v>0</v>
      </c>
      <c r="AJ47" s="17" t="n">
        <f aca="false">IF(ISNUMBER(SEARCH("S3R06",$AD47)),1,0)</f>
        <v>0</v>
      </c>
      <c r="AK47" s="17" t="n">
        <f aca="false">IF(ISNUMBER(SEARCH("R07",$AD47)),1,0)</f>
        <v>0</v>
      </c>
      <c r="AL47" s="17" t="n">
        <f aca="false">IF(ISNUMBER(SEARCH("R09",$AD47)),1,0)</f>
        <v>0</v>
      </c>
      <c r="AM47" s="17" t="n">
        <f aca="false">IF(ISNUMBER(SEARCH("R10",$AD47)),1,0)</f>
        <v>0</v>
      </c>
      <c r="AN47" s="17" t="n">
        <f aca="false">IF(ISNUMBER(SEARCH("S5",$AD47)),1,0)</f>
        <v>0</v>
      </c>
      <c r="AO47" s="17" t="n">
        <f aca="false">IF(ISNUMBER(SEARCH("S6",$AD47)),1,0)</f>
        <v>0</v>
      </c>
      <c r="AP47" s="17" t="n">
        <f aca="false">IF(ISNUMBER(SEARCH("TR",$AD47)),1,0)</f>
        <v>1</v>
      </c>
    </row>
    <row r="48" customFormat="false" ht="90.75" hidden="false" customHeight="true" outlineLevel="0" collapsed="false">
      <c r="A48" s="4" t="s">
        <v>426</v>
      </c>
      <c r="B48" s="4" t="s">
        <v>389</v>
      </c>
      <c r="C48" s="4" t="s">
        <v>390</v>
      </c>
      <c r="D48" s="4" t="s">
        <v>427</v>
      </c>
      <c r="E48" s="4" t="s">
        <v>44</v>
      </c>
      <c r="F48" s="4" t="s">
        <v>392</v>
      </c>
      <c r="G48" s="4" t="s">
        <v>45</v>
      </c>
      <c r="H48" s="4" t="s">
        <v>400</v>
      </c>
      <c r="I48" s="4" t="s">
        <v>46</v>
      </c>
      <c r="J48" s="4" t="s">
        <v>47</v>
      </c>
      <c r="K48" s="4" t="s">
        <v>198</v>
      </c>
      <c r="L48" s="4" t="s">
        <v>95</v>
      </c>
      <c r="M48" s="4" t="s">
        <v>49</v>
      </c>
      <c r="N48" s="4" t="s">
        <v>61</v>
      </c>
      <c r="O48" s="4" t="s">
        <v>428</v>
      </c>
      <c r="P48" s="4" t="s">
        <v>395</v>
      </c>
      <c r="Q48" s="4" t="s">
        <v>51</v>
      </c>
      <c r="R48" s="4" t="s">
        <v>429</v>
      </c>
      <c r="S48" s="16" t="n">
        <f aca="false">IF(ISNUMBER(SEARCH("E0",$H48)),1,0)</f>
        <v>1</v>
      </c>
      <c r="T48" s="16" t="n">
        <f aca="false">IF(ISNUMBER(SEARCH("E1",$H48)),1,0)</f>
        <v>0</v>
      </c>
      <c r="U48" s="16" t="n">
        <f aca="false">IF(ISNUMBER(SEARCH("E2",$H48)),1,0)</f>
        <v>0</v>
      </c>
      <c r="V48" s="16" t="n">
        <f aca="false">IF(ISNUMBER(SEARCH("E3",$H48)),1,0)</f>
        <v>1</v>
      </c>
      <c r="W48" s="16" t="n">
        <f aca="false">IF(ISNUMBER(SEARCH("E4",$H48)),1,0)</f>
        <v>1</v>
      </c>
      <c r="X48" s="16" t="n">
        <f aca="false">IF(ISNUMBER(SEARCH("E5",$H48)),1,0)</f>
        <v>0</v>
      </c>
      <c r="Y48" s="16" t="n">
        <f aca="false">IF(ISNUMBER(SEARCH("E6",$H48)),1,0)</f>
        <v>0</v>
      </c>
      <c r="Z48" s="16" t="n">
        <f aca="false">IF(ISNUMBER(SEARCH("E7",$H48)),1,0)</f>
        <v>0</v>
      </c>
      <c r="AA48" s="16" t="n">
        <f aca="false">IF(ISNUMBER(SEARCH("E8",$H48)),1,0)</f>
        <v>0</v>
      </c>
      <c r="AB48" s="16" t="n">
        <f aca="false">IF(ISNUMBER(SEARCH("E9",$H48)),1,0)</f>
        <v>1</v>
      </c>
      <c r="AC48" s="16" t="n">
        <f aca="false">IF(ISNUMBER(SEARCH("TR",$H48)),1,0)</f>
        <v>0</v>
      </c>
      <c r="AD48" s="10" t="s">
        <v>402</v>
      </c>
      <c r="AE48" s="17" t="n">
        <f aca="false">IF(ISNUMBER(SEARCH("S0",$AD48)),1,0)</f>
        <v>1</v>
      </c>
      <c r="AF48" s="17" t="n">
        <f aca="false">IF(ISNUMBER(SEARCH("R01",$AD48)),1,0)</f>
        <v>0</v>
      </c>
      <c r="AG48" s="17" t="n">
        <f aca="false">IF(ISNUMBER(SEARCH("R02R03",$AD48)),1,0)</f>
        <v>0</v>
      </c>
      <c r="AH48" s="17" t="n">
        <f aca="false">IF(ISNUMBER(SEARCH("R04",$AD48)),1,0)</f>
        <v>1</v>
      </c>
      <c r="AI48" s="17" t="n">
        <f aca="false">IF(ISNUMBER(SEARCH("R05",$AD48)),1,0)</f>
        <v>1</v>
      </c>
      <c r="AJ48" s="17" t="n">
        <f aca="false">IF(ISNUMBER(SEARCH("S3R06",$AD48)),1,0)</f>
        <v>0</v>
      </c>
      <c r="AK48" s="17" t="n">
        <f aca="false">IF(ISNUMBER(SEARCH("R07",$AD48)),1,0)</f>
        <v>0</v>
      </c>
      <c r="AL48" s="17" t="n">
        <f aca="false">IF(ISNUMBER(SEARCH("R09",$AD48)),1,0)</f>
        <v>0</v>
      </c>
      <c r="AM48" s="17" t="n">
        <f aca="false">IF(ISNUMBER(SEARCH("R10",$AD48)),1,0)</f>
        <v>0</v>
      </c>
      <c r="AN48" s="17" t="n">
        <f aca="false">IF(ISNUMBER(SEARCH("S5",$AD48)),1,0)</f>
        <v>0</v>
      </c>
      <c r="AO48" s="17" t="n">
        <f aca="false">IF(ISNUMBER(SEARCH("S6",$AD48)),1,0)</f>
        <v>1</v>
      </c>
      <c r="AP48" s="17" t="n">
        <f aca="false">IF(ISNUMBER(SEARCH("TR",$AD48)),1,0)</f>
        <v>0</v>
      </c>
    </row>
    <row r="49" customFormat="false" ht="79.5" hidden="false" customHeight="true" outlineLevel="0" collapsed="false">
      <c r="A49" s="4" t="s">
        <v>430</v>
      </c>
      <c r="B49" s="4" t="s">
        <v>389</v>
      </c>
      <c r="C49" s="4" t="s">
        <v>390</v>
      </c>
      <c r="D49" s="4" t="s">
        <v>431</v>
      </c>
      <c r="E49" s="4" t="s">
        <v>44</v>
      </c>
      <c r="F49" s="4" t="s">
        <v>392</v>
      </c>
      <c r="G49" s="4" t="s">
        <v>45</v>
      </c>
      <c r="H49" s="4" t="s">
        <v>432</v>
      </c>
      <c r="I49" s="4" t="s">
        <v>57</v>
      </c>
      <c r="J49" s="4" t="s">
        <v>47</v>
      </c>
      <c r="K49" s="4" t="s">
        <v>198</v>
      </c>
      <c r="L49" s="4" t="s">
        <v>95</v>
      </c>
      <c r="M49" s="4" t="s">
        <v>49</v>
      </c>
      <c r="N49" s="4" t="s">
        <v>61</v>
      </c>
      <c r="O49" s="4" t="s">
        <v>433</v>
      </c>
      <c r="P49" s="4" t="s">
        <v>395</v>
      </c>
      <c r="Q49" s="4" t="s">
        <v>51</v>
      </c>
      <c r="R49" s="4" t="s">
        <v>434</v>
      </c>
      <c r="S49" s="16" t="n">
        <f aca="false">IF(ISNUMBER(SEARCH("E0",$H49)),1,0)</f>
        <v>1</v>
      </c>
      <c r="T49" s="16" t="n">
        <f aca="false">IF(ISNUMBER(SEARCH("E1",$H49)),1,0)</f>
        <v>0</v>
      </c>
      <c r="U49" s="16" t="n">
        <f aca="false">IF(ISNUMBER(SEARCH("E2",$H49)),1,0)</f>
        <v>1</v>
      </c>
      <c r="V49" s="16" t="n">
        <f aca="false">IF(ISNUMBER(SEARCH("E3",$H49)),1,0)</f>
        <v>1</v>
      </c>
      <c r="W49" s="16" t="n">
        <f aca="false">IF(ISNUMBER(SEARCH("E4",$H49)),1,0)</f>
        <v>0</v>
      </c>
      <c r="X49" s="16" t="n">
        <f aca="false">IF(ISNUMBER(SEARCH("E5",$H49)),1,0)</f>
        <v>0</v>
      </c>
      <c r="Y49" s="16" t="n">
        <f aca="false">IF(ISNUMBER(SEARCH("E6",$H49)),1,0)</f>
        <v>0</v>
      </c>
      <c r="Z49" s="16" t="n">
        <f aca="false">IF(ISNUMBER(SEARCH("E7",$H49)),1,0)</f>
        <v>0</v>
      </c>
      <c r="AA49" s="16" t="n">
        <f aca="false">IF(ISNUMBER(SEARCH("E8",$H49)),1,0)</f>
        <v>0</v>
      </c>
      <c r="AB49" s="16" t="n">
        <f aca="false">IF(ISNUMBER(SEARCH("E9",$H49)),1,0)</f>
        <v>1</v>
      </c>
      <c r="AC49" s="16" t="n">
        <f aca="false">IF(ISNUMBER(SEARCH("TR",$H49)),1,0)</f>
        <v>0</v>
      </c>
      <c r="AD49" s="10" t="s">
        <v>435</v>
      </c>
      <c r="AE49" s="17" t="n">
        <f aca="false">IF(ISNUMBER(SEARCH("S0",$AD49)),1,0)</f>
        <v>1</v>
      </c>
      <c r="AF49" s="17" t="n">
        <f aca="false">IF(ISNUMBER(SEARCH("R01",$AD49)),1,0)</f>
        <v>0</v>
      </c>
      <c r="AG49" s="17" t="n">
        <f aca="false">IF(ISNUMBER(SEARCH("R02R03",$AD49)),1,0)</f>
        <v>1</v>
      </c>
      <c r="AH49" s="17" t="n">
        <f aca="false">IF(ISNUMBER(SEARCH("R04",$AD49)),1,0)</f>
        <v>1</v>
      </c>
      <c r="AI49" s="17" t="n">
        <f aca="false">IF(ISNUMBER(SEARCH("R05",$AD49)),1,0)</f>
        <v>0</v>
      </c>
      <c r="AJ49" s="17" t="n">
        <f aca="false">IF(ISNUMBER(SEARCH("S3R06",$AD49)),1,0)</f>
        <v>0</v>
      </c>
      <c r="AK49" s="17" t="n">
        <f aca="false">IF(ISNUMBER(SEARCH("R07",$AD49)),1,0)</f>
        <v>0</v>
      </c>
      <c r="AL49" s="17" t="n">
        <f aca="false">IF(ISNUMBER(SEARCH("R09",$AD49)),1,0)</f>
        <v>0</v>
      </c>
      <c r="AM49" s="17" t="n">
        <f aca="false">IF(ISNUMBER(SEARCH("R10",$AD49)),1,0)</f>
        <v>0</v>
      </c>
      <c r="AN49" s="17" t="n">
        <f aca="false">IF(ISNUMBER(SEARCH("S5",$AD49)),1,0)</f>
        <v>0</v>
      </c>
      <c r="AO49" s="17" t="n">
        <f aca="false">IF(ISNUMBER(SEARCH("S6",$AD49)),1,0)</f>
        <v>1</v>
      </c>
      <c r="AP49" s="17" t="n">
        <f aca="false">IF(ISNUMBER(SEARCH("TR",$AD49)),1,0)</f>
        <v>0</v>
      </c>
    </row>
    <row r="50" customFormat="false" ht="45.75" hidden="false" customHeight="true" outlineLevel="0" collapsed="false">
      <c r="A50" s="4" t="s">
        <v>436</v>
      </c>
      <c r="B50" s="4" t="s">
        <v>389</v>
      </c>
      <c r="C50" s="4" t="s">
        <v>390</v>
      </c>
      <c r="D50" s="4" t="s">
        <v>437</v>
      </c>
      <c r="E50" s="4" t="s">
        <v>44</v>
      </c>
      <c r="F50" s="4" t="s">
        <v>392</v>
      </c>
      <c r="G50" s="4" t="s">
        <v>110</v>
      </c>
      <c r="H50" s="4" t="s">
        <v>409</v>
      </c>
      <c r="I50" s="4" t="s">
        <v>68</v>
      </c>
      <c r="J50" s="4" t="s">
        <v>47</v>
      </c>
      <c r="K50" s="4" t="s">
        <v>438</v>
      </c>
      <c r="L50" s="4" t="s">
        <v>95</v>
      </c>
      <c r="M50" s="4" t="s">
        <v>49</v>
      </c>
      <c r="N50" s="4" t="s">
        <v>61</v>
      </c>
      <c r="O50" s="4" t="s">
        <v>439</v>
      </c>
      <c r="P50" s="4" t="s">
        <v>395</v>
      </c>
      <c r="Q50" s="4" t="s">
        <v>51</v>
      </c>
      <c r="R50" s="4" t="s">
        <v>440</v>
      </c>
      <c r="S50" s="16" t="n">
        <f aca="false">IF(ISNUMBER(SEARCH("E0",$H50)),1,0)</f>
        <v>0</v>
      </c>
      <c r="T50" s="16" t="n">
        <f aca="false">IF(ISNUMBER(SEARCH("E1",$H50)),1,0)</f>
        <v>0</v>
      </c>
      <c r="U50" s="16" t="n">
        <f aca="false">IF(ISNUMBER(SEARCH("E2",$H50)),1,0)</f>
        <v>0</v>
      </c>
      <c r="V50" s="16" t="n">
        <f aca="false">IF(ISNUMBER(SEARCH("E3",$H50)),1,0)</f>
        <v>0</v>
      </c>
      <c r="W50" s="16" t="n">
        <f aca="false">IF(ISNUMBER(SEARCH("E4",$H50)),1,0)</f>
        <v>1</v>
      </c>
      <c r="X50" s="16" t="n">
        <f aca="false">IF(ISNUMBER(SEARCH("E5",$H50)),1,0)</f>
        <v>1</v>
      </c>
      <c r="Y50" s="16" t="n">
        <f aca="false">IF(ISNUMBER(SEARCH("E6",$H50)),1,0)</f>
        <v>0</v>
      </c>
      <c r="Z50" s="16" t="n">
        <f aca="false">IF(ISNUMBER(SEARCH("E7",$H50)),1,0)</f>
        <v>0</v>
      </c>
      <c r="AA50" s="16" t="n">
        <f aca="false">IF(ISNUMBER(SEARCH("E8",$H50)),1,0)</f>
        <v>0</v>
      </c>
      <c r="AB50" s="16" t="n">
        <f aca="false">IF(ISNUMBER(SEARCH("E9",$H50)),1,0)</f>
        <v>1</v>
      </c>
      <c r="AC50" s="16" t="n">
        <f aca="false">IF(ISNUMBER(SEARCH("TR",$H50)),1,0)</f>
        <v>0</v>
      </c>
      <c r="AD50" s="10" t="s">
        <v>441</v>
      </c>
      <c r="AE50" s="17" t="n">
        <f aca="false">IF(ISNUMBER(SEARCH("S0",$AD50)),1,0)</f>
        <v>0</v>
      </c>
      <c r="AF50" s="17" t="n">
        <f aca="false">IF(ISNUMBER(SEARCH("R01",$AD50)),1,0)</f>
        <v>0</v>
      </c>
      <c r="AG50" s="17" t="n">
        <f aca="false">IF(ISNUMBER(SEARCH("R02R03",$AD50)),1,0)</f>
        <v>0</v>
      </c>
      <c r="AH50" s="17" t="n">
        <f aca="false">IF(ISNUMBER(SEARCH("R04",$AD50)),1,0)</f>
        <v>0</v>
      </c>
      <c r="AI50" s="17" t="n">
        <f aca="false">IF(ISNUMBER(SEARCH("R05",$AD50)),1,0)</f>
        <v>1</v>
      </c>
      <c r="AJ50" s="17" t="n">
        <f aca="false">IF(ISNUMBER(SEARCH("S3R06",$AD50)),1,0)</f>
        <v>1</v>
      </c>
      <c r="AK50" s="17" t="n">
        <f aca="false">IF(ISNUMBER(SEARCH("R07",$AD50)),1,0)</f>
        <v>1</v>
      </c>
      <c r="AL50" s="17" t="n">
        <f aca="false">IF(ISNUMBER(SEARCH("R09",$AD50)),1,0)</f>
        <v>0</v>
      </c>
      <c r="AM50" s="17" t="n">
        <f aca="false">IF(ISNUMBER(SEARCH("R10",$AD50)),1,0)</f>
        <v>0</v>
      </c>
      <c r="AN50" s="17" t="n">
        <f aca="false">IF(ISNUMBER(SEARCH("S5",$AD50)),1,0)</f>
        <v>0</v>
      </c>
      <c r="AO50" s="17" t="n">
        <f aca="false">IF(ISNUMBER(SEARCH("S6",$AD50)),1,0)</f>
        <v>1</v>
      </c>
      <c r="AP50" s="17" t="n">
        <f aca="false">IF(ISNUMBER(SEARCH("TR",$AD50)),1,0)</f>
        <v>0</v>
      </c>
    </row>
    <row r="51" customFormat="false" ht="34.5" hidden="false" customHeight="true" outlineLevel="0" collapsed="false">
      <c r="A51" s="4" t="s">
        <v>442</v>
      </c>
      <c r="B51" s="4" t="s">
        <v>389</v>
      </c>
      <c r="C51" s="4" t="s">
        <v>390</v>
      </c>
      <c r="D51" s="4" t="s">
        <v>443</v>
      </c>
      <c r="E51" s="4" t="s">
        <v>44</v>
      </c>
      <c r="F51" s="4" t="s">
        <v>392</v>
      </c>
      <c r="G51" s="4" t="s">
        <v>110</v>
      </c>
      <c r="H51" s="4" t="s">
        <v>444</v>
      </c>
      <c r="I51" s="4" t="s">
        <v>68</v>
      </c>
      <c r="J51" s="4" t="s">
        <v>47</v>
      </c>
      <c r="K51" s="4" t="s">
        <v>445</v>
      </c>
      <c r="L51" s="4" t="s">
        <v>95</v>
      </c>
      <c r="M51" s="4" t="s">
        <v>49</v>
      </c>
      <c r="N51" s="4" t="s">
        <v>61</v>
      </c>
      <c r="O51" s="4" t="s">
        <v>446</v>
      </c>
      <c r="P51" s="4" t="s">
        <v>395</v>
      </c>
      <c r="Q51" s="4" t="s">
        <v>51</v>
      </c>
      <c r="R51" s="4" t="s">
        <v>447</v>
      </c>
      <c r="S51" s="16" t="n">
        <f aca="false">IF(ISNUMBER(SEARCH("E0",$H51)),1,0)</f>
        <v>0</v>
      </c>
      <c r="T51" s="16" t="n">
        <f aca="false">IF(ISNUMBER(SEARCH("E1",$H51)),1,0)</f>
        <v>0</v>
      </c>
      <c r="U51" s="16" t="n">
        <f aca="false">IF(ISNUMBER(SEARCH("E2",$H51)),1,0)</f>
        <v>0</v>
      </c>
      <c r="V51" s="16" t="n">
        <f aca="false">IF(ISNUMBER(SEARCH("E3",$H51)),1,0)</f>
        <v>0</v>
      </c>
      <c r="W51" s="16" t="n">
        <f aca="false">IF(ISNUMBER(SEARCH("E4",$H51)),1,0)</f>
        <v>0</v>
      </c>
      <c r="X51" s="16" t="n">
        <f aca="false">IF(ISNUMBER(SEARCH("E5",$H51)),1,0)</f>
        <v>1</v>
      </c>
      <c r="Y51" s="16" t="n">
        <f aca="false">IF(ISNUMBER(SEARCH("E6",$H51)),1,0)</f>
        <v>0</v>
      </c>
      <c r="Z51" s="16" t="n">
        <f aca="false">IF(ISNUMBER(SEARCH("E7",$H51)),1,0)</f>
        <v>0</v>
      </c>
      <c r="AA51" s="16" t="n">
        <f aca="false">IF(ISNUMBER(SEARCH("E8",$H51)),1,0)</f>
        <v>0</v>
      </c>
      <c r="AB51" s="16" t="n">
        <f aca="false">IF(ISNUMBER(SEARCH("E9",$H51)),1,0)</f>
        <v>1</v>
      </c>
      <c r="AC51" s="16" t="n">
        <f aca="false">IF(ISNUMBER(SEARCH("TR",$H51)),1,0)</f>
        <v>0</v>
      </c>
      <c r="AD51" s="10" t="s">
        <v>448</v>
      </c>
      <c r="AE51" s="17" t="n">
        <f aca="false">IF(ISNUMBER(SEARCH("S0",$AD51)),1,0)</f>
        <v>0</v>
      </c>
      <c r="AF51" s="17" t="n">
        <f aca="false">IF(ISNUMBER(SEARCH("R01",$AD51)),1,0)</f>
        <v>0</v>
      </c>
      <c r="AG51" s="17" t="n">
        <f aca="false">IF(ISNUMBER(SEARCH("R02R03",$AD51)),1,0)</f>
        <v>0</v>
      </c>
      <c r="AH51" s="17" t="n">
        <f aca="false">IF(ISNUMBER(SEARCH("R04",$AD51)),1,0)</f>
        <v>0</v>
      </c>
      <c r="AI51" s="17" t="n">
        <f aca="false">IF(ISNUMBER(SEARCH("R05",$AD51)),1,0)</f>
        <v>0</v>
      </c>
      <c r="AJ51" s="17" t="n">
        <f aca="false">IF(ISNUMBER(SEARCH("S3R06",$AD51)),1,0)</f>
        <v>1</v>
      </c>
      <c r="AK51" s="17" t="n">
        <f aca="false">IF(ISNUMBER(SEARCH("R07",$AD51)),1,0)</f>
        <v>0</v>
      </c>
      <c r="AL51" s="17" t="n">
        <f aca="false">IF(ISNUMBER(SEARCH("R09",$AD51)),1,0)</f>
        <v>0</v>
      </c>
      <c r="AM51" s="17" t="n">
        <f aca="false">IF(ISNUMBER(SEARCH("R10",$AD51)),1,0)</f>
        <v>0</v>
      </c>
      <c r="AN51" s="17" t="n">
        <f aca="false">IF(ISNUMBER(SEARCH("S5",$AD51)),1,0)</f>
        <v>0</v>
      </c>
      <c r="AO51" s="17" t="n">
        <f aca="false">IF(ISNUMBER(SEARCH("S6",$AD51)),1,0)</f>
        <v>1</v>
      </c>
      <c r="AP51" s="17" t="n">
        <f aca="false">IF(ISNUMBER(SEARCH("TR",$AD51)),1,0)</f>
        <v>0</v>
      </c>
    </row>
    <row r="52" customFormat="false" ht="57" hidden="false" customHeight="true" outlineLevel="0" collapsed="false">
      <c r="A52" s="4" t="s">
        <v>449</v>
      </c>
      <c r="B52" s="4" t="s">
        <v>389</v>
      </c>
      <c r="C52" s="4" t="s">
        <v>390</v>
      </c>
      <c r="D52" s="4" t="s">
        <v>450</v>
      </c>
      <c r="E52" s="4" t="s">
        <v>44</v>
      </c>
      <c r="F52" s="4" t="s">
        <v>392</v>
      </c>
      <c r="G52" s="4" t="s">
        <v>110</v>
      </c>
      <c r="H52" s="4" t="s">
        <v>244</v>
      </c>
      <c r="I52" s="4" t="s">
        <v>77</v>
      </c>
      <c r="J52" s="4" t="s">
        <v>47</v>
      </c>
      <c r="K52" s="4" t="s">
        <v>198</v>
      </c>
      <c r="L52" s="4" t="s">
        <v>95</v>
      </c>
      <c r="M52" s="4" t="s">
        <v>49</v>
      </c>
      <c r="N52" s="4" t="s">
        <v>50</v>
      </c>
      <c r="O52" s="4" t="s">
        <v>451</v>
      </c>
      <c r="P52" s="4" t="s">
        <v>395</v>
      </c>
      <c r="Q52" s="4" t="s">
        <v>51</v>
      </c>
      <c r="R52" s="4" t="s">
        <v>452</v>
      </c>
      <c r="S52" s="16" t="n">
        <f aca="false">IF(ISNUMBER(SEARCH("E0",$H52)),1,0)</f>
        <v>0</v>
      </c>
      <c r="T52" s="16" t="n">
        <f aca="false">IF(ISNUMBER(SEARCH("E1",$H52)),1,0)</f>
        <v>0</v>
      </c>
      <c r="U52" s="16" t="n">
        <f aca="false">IF(ISNUMBER(SEARCH("E2",$H52)),1,0)</f>
        <v>0</v>
      </c>
      <c r="V52" s="16" t="n">
        <f aca="false">IF(ISNUMBER(SEARCH("E3",$H52)),1,0)</f>
        <v>0</v>
      </c>
      <c r="W52" s="16" t="n">
        <f aca="false">IF(ISNUMBER(SEARCH("E4",$H52)),1,0)</f>
        <v>1</v>
      </c>
      <c r="X52" s="16" t="n">
        <f aca="false">IF(ISNUMBER(SEARCH("E5",$H52)),1,0)</f>
        <v>0</v>
      </c>
      <c r="Y52" s="16" t="n">
        <f aca="false">IF(ISNUMBER(SEARCH("E6",$H52)),1,0)</f>
        <v>0</v>
      </c>
      <c r="Z52" s="16" t="n">
        <f aca="false">IF(ISNUMBER(SEARCH("E7",$H52)),1,0)</f>
        <v>1</v>
      </c>
      <c r="AA52" s="16" t="n">
        <f aca="false">IF(ISNUMBER(SEARCH("E8",$H52)),1,0)</f>
        <v>1</v>
      </c>
      <c r="AB52" s="16" t="n">
        <f aca="false">IF(ISNUMBER(SEARCH("E9",$H52)),1,0)</f>
        <v>0</v>
      </c>
      <c r="AC52" s="16" t="n">
        <f aca="false">IF(ISNUMBER(SEARCH("TR",$H52)),1,0)</f>
        <v>0</v>
      </c>
      <c r="AD52" s="10" t="s">
        <v>248</v>
      </c>
      <c r="AE52" s="17" t="n">
        <f aca="false">IF(ISNUMBER(SEARCH("S0",$AD52)),1,0)</f>
        <v>0</v>
      </c>
      <c r="AF52" s="17" t="n">
        <f aca="false">IF(ISNUMBER(SEARCH("R01",$AD52)),1,0)</f>
        <v>0</v>
      </c>
      <c r="AG52" s="17" t="n">
        <f aca="false">IF(ISNUMBER(SEARCH("R02R03",$AD52)),1,0)</f>
        <v>0</v>
      </c>
      <c r="AH52" s="17" t="n">
        <f aca="false">IF(ISNUMBER(SEARCH("R04",$AD52)),1,0)</f>
        <v>0</v>
      </c>
      <c r="AI52" s="17" t="n">
        <f aca="false">IF(ISNUMBER(SEARCH("R05",$AD52)),1,0)</f>
        <v>1</v>
      </c>
      <c r="AJ52" s="17" t="n">
        <f aca="false">IF(ISNUMBER(SEARCH("S3R06",$AD52)),1,0)</f>
        <v>0</v>
      </c>
      <c r="AK52" s="17" t="n">
        <f aca="false">IF(ISNUMBER(SEARCH("R07",$AD52)),1,0)</f>
        <v>1</v>
      </c>
      <c r="AL52" s="17" t="n">
        <f aca="false">IF(ISNUMBER(SEARCH("R09",$AD52)),1,0)</f>
        <v>0</v>
      </c>
      <c r="AM52" s="17" t="n">
        <f aca="false">IF(ISNUMBER(SEARCH("R10",$AD52)),1,0)</f>
        <v>1</v>
      </c>
      <c r="AN52" s="17" t="n">
        <f aca="false">IF(ISNUMBER(SEARCH("S5",$AD52)),1,0)</f>
        <v>1</v>
      </c>
      <c r="AO52" s="17" t="n">
        <f aca="false">IF(ISNUMBER(SEARCH("S6",$AD52)),1,0)</f>
        <v>0</v>
      </c>
      <c r="AP52" s="17" t="n">
        <f aca="false">IF(ISNUMBER(SEARCH("TR",$AD52)),1,0)</f>
        <v>0</v>
      </c>
    </row>
    <row r="53" customFormat="false" ht="34.5" hidden="false" customHeight="true" outlineLevel="0" collapsed="false">
      <c r="A53" s="4" t="s">
        <v>453</v>
      </c>
      <c r="B53" s="4" t="s">
        <v>389</v>
      </c>
      <c r="C53" s="4" t="s">
        <v>390</v>
      </c>
      <c r="D53" s="4" t="s">
        <v>450</v>
      </c>
      <c r="E53" s="4" t="s">
        <v>44</v>
      </c>
      <c r="F53" s="4" t="s">
        <v>392</v>
      </c>
      <c r="G53" s="4" t="s">
        <v>67</v>
      </c>
      <c r="H53" s="4" t="s">
        <v>244</v>
      </c>
      <c r="I53" s="4" t="s">
        <v>77</v>
      </c>
      <c r="J53" s="4" t="s">
        <v>47</v>
      </c>
      <c r="K53" s="4" t="s">
        <v>198</v>
      </c>
      <c r="L53" s="4" t="s">
        <v>59</v>
      </c>
      <c r="M53" s="4" t="s">
        <v>49</v>
      </c>
      <c r="N53" s="4" t="s">
        <v>50</v>
      </c>
      <c r="O53" s="4" t="s">
        <v>454</v>
      </c>
      <c r="P53" s="4" t="s">
        <v>395</v>
      </c>
      <c r="Q53" s="4" t="s">
        <v>51</v>
      </c>
      <c r="R53" s="4" t="s">
        <v>455</v>
      </c>
      <c r="S53" s="16" t="n">
        <f aca="false">IF(ISNUMBER(SEARCH("E0",$H53)),1,0)</f>
        <v>0</v>
      </c>
      <c r="T53" s="16" t="n">
        <f aca="false">IF(ISNUMBER(SEARCH("E1",$H53)),1,0)</f>
        <v>0</v>
      </c>
      <c r="U53" s="16" t="n">
        <f aca="false">IF(ISNUMBER(SEARCH("E2",$H53)),1,0)</f>
        <v>0</v>
      </c>
      <c r="V53" s="16" t="n">
        <f aca="false">IF(ISNUMBER(SEARCH("E3",$H53)),1,0)</f>
        <v>0</v>
      </c>
      <c r="W53" s="16" t="n">
        <f aca="false">IF(ISNUMBER(SEARCH("E4",$H53)),1,0)</f>
        <v>1</v>
      </c>
      <c r="X53" s="16" t="n">
        <f aca="false">IF(ISNUMBER(SEARCH("E5",$H53)),1,0)</f>
        <v>0</v>
      </c>
      <c r="Y53" s="16" t="n">
        <f aca="false">IF(ISNUMBER(SEARCH("E6",$H53)),1,0)</f>
        <v>0</v>
      </c>
      <c r="Z53" s="16" t="n">
        <f aca="false">IF(ISNUMBER(SEARCH("E7",$H53)),1,0)</f>
        <v>1</v>
      </c>
      <c r="AA53" s="16" t="n">
        <f aca="false">IF(ISNUMBER(SEARCH("E8",$H53)),1,0)</f>
        <v>1</v>
      </c>
      <c r="AB53" s="16" t="n">
        <f aca="false">IF(ISNUMBER(SEARCH("E9",$H53)),1,0)</f>
        <v>0</v>
      </c>
      <c r="AC53" s="16" t="n">
        <f aca="false">IF(ISNUMBER(SEARCH("TR",$H53)),1,0)</f>
        <v>0</v>
      </c>
      <c r="AD53" s="10" t="s">
        <v>456</v>
      </c>
      <c r="AE53" s="17" t="n">
        <f aca="false">IF(ISNUMBER(SEARCH("S0",$AD53)),1,0)</f>
        <v>0</v>
      </c>
      <c r="AF53" s="17" t="n">
        <f aca="false">IF(ISNUMBER(SEARCH("R01",$AD53)),1,0)</f>
        <v>0</v>
      </c>
      <c r="AG53" s="17" t="n">
        <f aca="false">IF(ISNUMBER(SEARCH("R02R03",$AD53)),1,0)</f>
        <v>0</v>
      </c>
      <c r="AH53" s="17" t="n">
        <f aca="false">IF(ISNUMBER(SEARCH("R04",$AD53)),1,0)</f>
        <v>0</v>
      </c>
      <c r="AI53" s="17" t="n">
        <f aca="false">IF(ISNUMBER(SEARCH("R05",$AD53)),1,0)</f>
        <v>1</v>
      </c>
      <c r="AJ53" s="17" t="n">
        <f aca="false">IF(ISNUMBER(SEARCH("S3R06",$AD53)),1,0)</f>
        <v>0</v>
      </c>
      <c r="AK53" s="17" t="n">
        <f aca="false">IF(ISNUMBER(SEARCH("R07",$AD53)),1,0)</f>
        <v>0</v>
      </c>
      <c r="AL53" s="17" t="n">
        <f aca="false">IF(ISNUMBER(SEARCH("R09",$AD53)),1,0)</f>
        <v>0</v>
      </c>
      <c r="AM53" s="17" t="n">
        <f aca="false">IF(ISNUMBER(SEARCH("R10",$AD53)),1,0)</f>
        <v>1</v>
      </c>
      <c r="AN53" s="17" t="n">
        <f aca="false">IF(ISNUMBER(SEARCH("S5",$AD53)),1,0)</f>
        <v>1</v>
      </c>
      <c r="AO53" s="17" t="n">
        <f aca="false">IF(ISNUMBER(SEARCH("S6",$AD53)),1,0)</f>
        <v>0</v>
      </c>
      <c r="AP53" s="17" t="n">
        <f aca="false">IF(ISNUMBER(SEARCH("TR",$AD53)),1,0)</f>
        <v>0</v>
      </c>
    </row>
    <row r="54" customFormat="false" ht="45.75" hidden="false" customHeight="true" outlineLevel="0" collapsed="false">
      <c r="A54" s="4" t="s">
        <v>457</v>
      </c>
      <c r="B54" s="4" t="s">
        <v>389</v>
      </c>
      <c r="C54" s="4" t="s">
        <v>390</v>
      </c>
      <c r="D54" s="4" t="s">
        <v>458</v>
      </c>
      <c r="E54" s="4" t="s">
        <v>44</v>
      </c>
      <c r="F54" s="4" t="s">
        <v>392</v>
      </c>
      <c r="G54" s="4" t="s">
        <v>45</v>
      </c>
      <c r="H54" s="4" t="s">
        <v>161</v>
      </c>
      <c r="I54" s="4" t="s">
        <v>118</v>
      </c>
      <c r="J54" s="4" t="s">
        <v>47</v>
      </c>
      <c r="K54" s="4" t="s">
        <v>198</v>
      </c>
      <c r="L54" s="4" t="s">
        <v>95</v>
      </c>
      <c r="M54" s="4" t="s">
        <v>49</v>
      </c>
      <c r="N54" s="4" t="s">
        <v>50</v>
      </c>
      <c r="O54" s="4" t="s">
        <v>459</v>
      </c>
      <c r="P54" s="4" t="s">
        <v>395</v>
      </c>
      <c r="Q54" s="4" t="s">
        <v>51</v>
      </c>
      <c r="R54" s="4" t="s">
        <v>460</v>
      </c>
      <c r="S54" s="16" t="n">
        <f aca="false">IF(ISNUMBER(SEARCH("E0",$H54)),1,0)</f>
        <v>0</v>
      </c>
      <c r="T54" s="16" t="n">
        <f aca="false">IF(ISNUMBER(SEARCH("E1",$H54)),1,0)</f>
        <v>0</v>
      </c>
      <c r="U54" s="16" t="n">
        <f aca="false">IF(ISNUMBER(SEARCH("E2",$H54)),1,0)</f>
        <v>0</v>
      </c>
      <c r="V54" s="16" t="n">
        <f aca="false">IF(ISNUMBER(SEARCH("E3",$H54)),1,0)</f>
        <v>0</v>
      </c>
      <c r="W54" s="16" t="n">
        <f aca="false">IF(ISNUMBER(SEARCH("E4",$H54)),1,0)</f>
        <v>0</v>
      </c>
      <c r="X54" s="16" t="n">
        <f aca="false">IF(ISNUMBER(SEARCH("E5",$H54)),1,0)</f>
        <v>0</v>
      </c>
      <c r="Y54" s="16" t="n">
        <f aca="false">IF(ISNUMBER(SEARCH("E6",$H54)),1,0)</f>
        <v>0</v>
      </c>
      <c r="Z54" s="16" t="n">
        <f aca="false">IF(ISNUMBER(SEARCH("E7",$H54)),1,0)</f>
        <v>0</v>
      </c>
      <c r="AA54" s="16" t="n">
        <f aca="false">IF(ISNUMBER(SEARCH("E8",$H54)),1,0)</f>
        <v>0</v>
      </c>
      <c r="AB54" s="16" t="n">
        <f aca="false">IF(ISNUMBER(SEARCH("E9",$H54)),1,0)</f>
        <v>0</v>
      </c>
      <c r="AC54" s="16" t="n">
        <f aca="false">IF(ISNUMBER(SEARCH("TR",$H54)),1,0)</f>
        <v>1</v>
      </c>
      <c r="AD54" s="10" t="s">
        <v>161</v>
      </c>
      <c r="AE54" s="17" t="n">
        <f aca="false">IF(ISNUMBER(SEARCH("S0",$AD54)),1,0)</f>
        <v>0</v>
      </c>
      <c r="AF54" s="17" t="n">
        <f aca="false">IF(ISNUMBER(SEARCH("R01",$AD54)),1,0)</f>
        <v>0</v>
      </c>
      <c r="AG54" s="17" t="n">
        <f aca="false">IF(ISNUMBER(SEARCH("R02R03",$AD54)),1,0)</f>
        <v>0</v>
      </c>
      <c r="AH54" s="17" t="n">
        <f aca="false">IF(ISNUMBER(SEARCH("R04",$AD54)),1,0)</f>
        <v>0</v>
      </c>
      <c r="AI54" s="17" t="n">
        <f aca="false">IF(ISNUMBER(SEARCH("R05",$AD54)),1,0)</f>
        <v>0</v>
      </c>
      <c r="AJ54" s="17" t="n">
        <f aca="false">IF(ISNUMBER(SEARCH("S3R06",$AD54)),1,0)</f>
        <v>0</v>
      </c>
      <c r="AK54" s="17" t="n">
        <f aca="false">IF(ISNUMBER(SEARCH("R07",$AD54)),1,0)</f>
        <v>0</v>
      </c>
      <c r="AL54" s="17" t="n">
        <f aca="false">IF(ISNUMBER(SEARCH("R09",$AD54)),1,0)</f>
        <v>0</v>
      </c>
      <c r="AM54" s="17" t="n">
        <f aca="false">IF(ISNUMBER(SEARCH("R10",$AD54)),1,0)</f>
        <v>0</v>
      </c>
      <c r="AN54" s="17" t="n">
        <f aca="false">IF(ISNUMBER(SEARCH("S5",$AD54)),1,0)</f>
        <v>0</v>
      </c>
      <c r="AO54" s="17" t="n">
        <f aca="false">IF(ISNUMBER(SEARCH("S6",$AD54)),1,0)</f>
        <v>0</v>
      </c>
      <c r="AP54" s="17" t="n">
        <f aca="false">IF(ISNUMBER(SEARCH("TR",$AD54)),1,0)</f>
        <v>1</v>
      </c>
    </row>
    <row r="55" customFormat="false" ht="68.25" hidden="false" customHeight="true" outlineLevel="0" collapsed="false">
      <c r="A55" s="4" t="s">
        <v>461</v>
      </c>
      <c r="B55" s="4" t="s">
        <v>389</v>
      </c>
      <c r="C55" s="4" t="s">
        <v>390</v>
      </c>
      <c r="D55" s="4" t="s">
        <v>462</v>
      </c>
      <c r="E55" s="4" t="s">
        <v>44</v>
      </c>
      <c r="F55" s="4" t="s">
        <v>392</v>
      </c>
      <c r="G55" s="4" t="s">
        <v>45</v>
      </c>
      <c r="H55" s="4" t="s">
        <v>244</v>
      </c>
      <c r="I55" s="4" t="s">
        <v>77</v>
      </c>
      <c r="J55" s="4" t="s">
        <v>47</v>
      </c>
      <c r="K55" s="4" t="s">
        <v>198</v>
      </c>
      <c r="L55" s="4" t="s">
        <v>95</v>
      </c>
      <c r="M55" s="4" t="s">
        <v>49</v>
      </c>
      <c r="N55" s="4" t="s">
        <v>50</v>
      </c>
      <c r="O55" s="4" t="s">
        <v>463</v>
      </c>
      <c r="P55" s="4" t="s">
        <v>395</v>
      </c>
      <c r="Q55" s="4" t="s">
        <v>51</v>
      </c>
      <c r="R55" s="4" t="s">
        <v>464</v>
      </c>
      <c r="S55" s="16" t="n">
        <f aca="false">IF(ISNUMBER(SEARCH("E0",$H55)),1,0)</f>
        <v>0</v>
      </c>
      <c r="T55" s="16" t="n">
        <f aca="false">IF(ISNUMBER(SEARCH("E1",$H55)),1,0)</f>
        <v>0</v>
      </c>
      <c r="U55" s="16" t="n">
        <f aca="false">IF(ISNUMBER(SEARCH("E2",$H55)),1,0)</f>
        <v>0</v>
      </c>
      <c r="V55" s="16" t="n">
        <f aca="false">IF(ISNUMBER(SEARCH("E3",$H55)),1,0)</f>
        <v>0</v>
      </c>
      <c r="W55" s="16" t="n">
        <f aca="false">IF(ISNUMBER(SEARCH("E4",$H55)),1,0)</f>
        <v>1</v>
      </c>
      <c r="X55" s="16" t="n">
        <f aca="false">IF(ISNUMBER(SEARCH("E5",$H55)),1,0)</f>
        <v>0</v>
      </c>
      <c r="Y55" s="16" t="n">
        <f aca="false">IF(ISNUMBER(SEARCH("E6",$H55)),1,0)</f>
        <v>0</v>
      </c>
      <c r="Z55" s="16" t="n">
        <f aca="false">IF(ISNUMBER(SEARCH("E7",$H55)),1,0)</f>
        <v>1</v>
      </c>
      <c r="AA55" s="16" t="n">
        <f aca="false">IF(ISNUMBER(SEARCH("E8",$H55)),1,0)</f>
        <v>1</v>
      </c>
      <c r="AB55" s="16" t="n">
        <f aca="false">IF(ISNUMBER(SEARCH("E9",$H55)),1,0)</f>
        <v>0</v>
      </c>
      <c r="AC55" s="16" t="n">
        <f aca="false">IF(ISNUMBER(SEARCH("TR",$H55)),1,0)</f>
        <v>0</v>
      </c>
      <c r="AD55" s="10" t="s">
        <v>456</v>
      </c>
      <c r="AE55" s="17" t="n">
        <f aca="false">IF(ISNUMBER(SEARCH("S0",$AD55)),1,0)</f>
        <v>0</v>
      </c>
      <c r="AF55" s="17" t="n">
        <f aca="false">IF(ISNUMBER(SEARCH("R01",$AD55)),1,0)</f>
        <v>0</v>
      </c>
      <c r="AG55" s="17" t="n">
        <f aca="false">IF(ISNUMBER(SEARCH("R02R03",$AD55)),1,0)</f>
        <v>0</v>
      </c>
      <c r="AH55" s="17" t="n">
        <f aca="false">IF(ISNUMBER(SEARCH("R04",$AD55)),1,0)</f>
        <v>0</v>
      </c>
      <c r="AI55" s="17" t="n">
        <f aca="false">IF(ISNUMBER(SEARCH("R05",$AD55)),1,0)</f>
        <v>1</v>
      </c>
      <c r="AJ55" s="17" t="n">
        <f aca="false">IF(ISNUMBER(SEARCH("S3R06",$AD55)),1,0)</f>
        <v>0</v>
      </c>
      <c r="AK55" s="17" t="n">
        <f aca="false">IF(ISNUMBER(SEARCH("R07",$AD55)),1,0)</f>
        <v>0</v>
      </c>
      <c r="AL55" s="17" t="n">
        <f aca="false">IF(ISNUMBER(SEARCH("R09",$AD55)),1,0)</f>
        <v>0</v>
      </c>
      <c r="AM55" s="17" t="n">
        <f aca="false">IF(ISNUMBER(SEARCH("R10",$AD55)),1,0)</f>
        <v>1</v>
      </c>
      <c r="AN55" s="17" t="n">
        <f aca="false">IF(ISNUMBER(SEARCH("S5",$AD55)),1,0)</f>
        <v>1</v>
      </c>
      <c r="AO55" s="17" t="n">
        <f aca="false">IF(ISNUMBER(SEARCH("S6",$AD55)),1,0)</f>
        <v>0</v>
      </c>
      <c r="AP55" s="17" t="n">
        <f aca="false">IF(ISNUMBER(SEARCH("TR",$AD55)),1,0)</f>
        <v>0</v>
      </c>
    </row>
    <row r="56" customFormat="false" ht="45.75" hidden="false" customHeight="true" outlineLevel="0" collapsed="false">
      <c r="A56" s="4" t="s">
        <v>465</v>
      </c>
      <c r="B56" s="4" t="s">
        <v>389</v>
      </c>
      <c r="C56" s="4" t="s">
        <v>390</v>
      </c>
      <c r="D56" s="4" t="s">
        <v>466</v>
      </c>
      <c r="E56" s="4" t="s">
        <v>44</v>
      </c>
      <c r="F56" s="4" t="s">
        <v>392</v>
      </c>
      <c r="G56" s="4" t="s">
        <v>92</v>
      </c>
      <c r="H56" s="4" t="s">
        <v>158</v>
      </c>
      <c r="I56" s="4" t="s">
        <v>68</v>
      </c>
      <c r="J56" s="4" t="s">
        <v>47</v>
      </c>
      <c r="K56" s="4" t="s">
        <v>467</v>
      </c>
      <c r="L56" s="4" t="s">
        <v>95</v>
      </c>
      <c r="M56" s="4" t="s">
        <v>49</v>
      </c>
      <c r="N56" s="4" t="s">
        <v>72</v>
      </c>
      <c r="O56" s="4" t="s">
        <v>468</v>
      </c>
      <c r="P56" s="4" t="s">
        <v>395</v>
      </c>
      <c r="Q56" s="4" t="s">
        <v>51</v>
      </c>
      <c r="R56" s="4" t="s">
        <v>469</v>
      </c>
      <c r="S56" s="16" t="n">
        <f aca="false">IF(ISNUMBER(SEARCH("E0",$H56)),1,0)</f>
        <v>0</v>
      </c>
      <c r="T56" s="16" t="n">
        <f aca="false">IF(ISNUMBER(SEARCH("E1",$H56)),1,0)</f>
        <v>0</v>
      </c>
      <c r="U56" s="16" t="n">
        <f aca="false">IF(ISNUMBER(SEARCH("E2",$H56)),1,0)</f>
        <v>0</v>
      </c>
      <c r="V56" s="16" t="n">
        <f aca="false">IF(ISNUMBER(SEARCH("E3",$H56)),1,0)</f>
        <v>0</v>
      </c>
      <c r="W56" s="16" t="n">
        <f aca="false">IF(ISNUMBER(SEARCH("E4",$H56)),1,0)</f>
        <v>0</v>
      </c>
      <c r="X56" s="16" t="n">
        <f aca="false">IF(ISNUMBER(SEARCH("E5",$H56)),1,0)</f>
        <v>0</v>
      </c>
      <c r="Y56" s="16" t="n">
        <f aca="false">IF(ISNUMBER(SEARCH("E6",$H56)),1,0)</f>
        <v>0</v>
      </c>
      <c r="Z56" s="16" t="n">
        <f aca="false">IF(ISNUMBER(SEARCH("E7",$H56)),1,0)</f>
        <v>0</v>
      </c>
      <c r="AA56" s="16" t="n">
        <f aca="false">IF(ISNUMBER(SEARCH("E8",$H56)),1,0)</f>
        <v>0</v>
      </c>
      <c r="AB56" s="16" t="n">
        <f aca="false">IF(ISNUMBER(SEARCH("E9",$H56)),1,0)</f>
        <v>1</v>
      </c>
      <c r="AC56" s="16" t="n">
        <f aca="false">IF(ISNUMBER(SEARCH("TR",$H56)),1,0)</f>
        <v>0</v>
      </c>
      <c r="AD56" s="10" t="s">
        <v>192</v>
      </c>
      <c r="AE56" s="17" t="n">
        <f aca="false">IF(ISNUMBER(SEARCH("S0",$AD56)),1,0)</f>
        <v>0</v>
      </c>
      <c r="AF56" s="17" t="n">
        <f aca="false">IF(ISNUMBER(SEARCH("R01",$AD56)),1,0)</f>
        <v>0</v>
      </c>
      <c r="AG56" s="17" t="n">
        <f aca="false">IF(ISNUMBER(SEARCH("R02R03",$AD56)),1,0)</f>
        <v>0</v>
      </c>
      <c r="AH56" s="17" t="n">
        <f aca="false">IF(ISNUMBER(SEARCH("R04",$AD56)),1,0)</f>
        <v>0</v>
      </c>
      <c r="AI56" s="17" t="n">
        <f aca="false">IF(ISNUMBER(SEARCH("R05",$AD56)),1,0)</f>
        <v>0</v>
      </c>
      <c r="AJ56" s="17" t="n">
        <f aca="false">IF(ISNUMBER(SEARCH("S3R06",$AD56)),1,0)</f>
        <v>0</v>
      </c>
      <c r="AK56" s="17" t="n">
        <f aca="false">IF(ISNUMBER(SEARCH("R07",$AD56)),1,0)</f>
        <v>0</v>
      </c>
      <c r="AL56" s="17" t="n">
        <f aca="false">IF(ISNUMBER(SEARCH("R09",$AD56)),1,0)</f>
        <v>0</v>
      </c>
      <c r="AM56" s="17" t="n">
        <f aca="false">IF(ISNUMBER(SEARCH("R10",$AD56)),1,0)</f>
        <v>0</v>
      </c>
      <c r="AN56" s="17" t="n">
        <f aca="false">IF(ISNUMBER(SEARCH("S5",$AD56)),1,0)</f>
        <v>0</v>
      </c>
      <c r="AO56" s="17" t="n">
        <f aca="false">IF(ISNUMBER(SEARCH("S6",$AD56)),1,0)</f>
        <v>1</v>
      </c>
      <c r="AP56" s="17" t="n">
        <f aca="false">IF(ISNUMBER(SEARCH("TR",$AD56)),1,0)</f>
        <v>0</v>
      </c>
    </row>
    <row r="57" customFormat="false" ht="34.5" hidden="false" customHeight="true" outlineLevel="0" collapsed="false">
      <c r="A57" s="4" t="s">
        <v>470</v>
      </c>
      <c r="B57" s="4" t="s">
        <v>389</v>
      </c>
      <c r="C57" s="4" t="s">
        <v>390</v>
      </c>
      <c r="D57" s="4" t="s">
        <v>471</v>
      </c>
      <c r="E57" s="4" t="s">
        <v>44</v>
      </c>
      <c r="F57" s="4" t="s">
        <v>392</v>
      </c>
      <c r="G57" s="4" t="s">
        <v>45</v>
      </c>
      <c r="H57" s="4" t="s">
        <v>161</v>
      </c>
      <c r="I57" s="4" t="s">
        <v>99</v>
      </c>
      <c r="J57" s="4" t="s">
        <v>47</v>
      </c>
      <c r="K57" s="4" t="s">
        <v>198</v>
      </c>
      <c r="L57" s="4" t="s">
        <v>95</v>
      </c>
      <c r="M57" s="4" t="s">
        <v>49</v>
      </c>
      <c r="N57" s="4" t="s">
        <v>61</v>
      </c>
      <c r="O57" s="4" t="s">
        <v>472</v>
      </c>
      <c r="P57" s="4" t="s">
        <v>395</v>
      </c>
      <c r="Q57" s="4" t="s">
        <v>51</v>
      </c>
      <c r="R57" s="4"/>
      <c r="S57" s="16" t="n">
        <f aca="false">IF(ISNUMBER(SEARCH("E0",$H57)),1,0)</f>
        <v>0</v>
      </c>
      <c r="T57" s="16" t="n">
        <f aca="false">IF(ISNUMBER(SEARCH("E1",$H57)),1,0)</f>
        <v>0</v>
      </c>
      <c r="U57" s="16" t="n">
        <f aca="false">IF(ISNUMBER(SEARCH("E2",$H57)),1,0)</f>
        <v>0</v>
      </c>
      <c r="V57" s="16" t="n">
        <f aca="false">IF(ISNUMBER(SEARCH("E3",$H57)),1,0)</f>
        <v>0</v>
      </c>
      <c r="W57" s="16" t="n">
        <f aca="false">IF(ISNUMBER(SEARCH("E4",$H57)),1,0)</f>
        <v>0</v>
      </c>
      <c r="X57" s="16" t="n">
        <f aca="false">IF(ISNUMBER(SEARCH("E5",$H57)),1,0)</f>
        <v>0</v>
      </c>
      <c r="Y57" s="16" t="n">
        <f aca="false">IF(ISNUMBER(SEARCH("E6",$H57)),1,0)</f>
        <v>0</v>
      </c>
      <c r="Z57" s="16" t="n">
        <f aca="false">IF(ISNUMBER(SEARCH("E7",$H57)),1,0)</f>
        <v>0</v>
      </c>
      <c r="AA57" s="16" t="n">
        <f aca="false">IF(ISNUMBER(SEARCH("E8",$H57)),1,0)</f>
        <v>0</v>
      </c>
      <c r="AB57" s="16" t="n">
        <f aca="false">IF(ISNUMBER(SEARCH("E9",$H57)),1,0)</f>
        <v>0</v>
      </c>
      <c r="AC57" s="16" t="n">
        <f aca="false">IF(ISNUMBER(SEARCH("TR",$H57)),1,0)</f>
        <v>1</v>
      </c>
      <c r="AD57" s="10" t="s">
        <v>161</v>
      </c>
      <c r="AE57" s="17" t="n">
        <f aca="false">IF(ISNUMBER(SEARCH("S0",$AD57)),1,0)</f>
        <v>0</v>
      </c>
      <c r="AF57" s="17" t="n">
        <f aca="false">IF(ISNUMBER(SEARCH("R01",$AD57)),1,0)</f>
        <v>0</v>
      </c>
      <c r="AG57" s="17" t="n">
        <f aca="false">IF(ISNUMBER(SEARCH("R02R03",$AD57)),1,0)</f>
        <v>0</v>
      </c>
      <c r="AH57" s="17" t="n">
        <f aca="false">IF(ISNUMBER(SEARCH("R04",$AD57)),1,0)</f>
        <v>0</v>
      </c>
      <c r="AI57" s="17" t="n">
        <f aca="false">IF(ISNUMBER(SEARCH("R05",$AD57)),1,0)</f>
        <v>0</v>
      </c>
      <c r="AJ57" s="17" t="n">
        <f aca="false">IF(ISNUMBER(SEARCH("S3R06",$AD57)),1,0)</f>
        <v>0</v>
      </c>
      <c r="AK57" s="17" t="n">
        <f aca="false">IF(ISNUMBER(SEARCH("R07",$AD57)),1,0)</f>
        <v>0</v>
      </c>
      <c r="AL57" s="17" t="n">
        <f aca="false">IF(ISNUMBER(SEARCH("R09",$AD57)),1,0)</f>
        <v>0</v>
      </c>
      <c r="AM57" s="17" t="n">
        <f aca="false">IF(ISNUMBER(SEARCH("R10",$AD57)),1,0)</f>
        <v>0</v>
      </c>
      <c r="AN57" s="17" t="n">
        <f aca="false">IF(ISNUMBER(SEARCH("S5",$AD57)),1,0)</f>
        <v>0</v>
      </c>
      <c r="AO57" s="17" t="n">
        <f aca="false">IF(ISNUMBER(SEARCH("S6",$AD57)),1,0)</f>
        <v>0</v>
      </c>
      <c r="AP57" s="17" t="n">
        <f aca="false">IF(ISNUMBER(SEARCH("TR",$AD57)),1,0)</f>
        <v>1</v>
      </c>
    </row>
    <row r="58" customFormat="false" ht="34.5" hidden="false" customHeight="true" outlineLevel="0" collapsed="false">
      <c r="A58" s="4" t="s">
        <v>473</v>
      </c>
      <c r="B58" s="4" t="s">
        <v>389</v>
      </c>
      <c r="C58" s="4" t="s">
        <v>390</v>
      </c>
      <c r="D58" s="4" t="s">
        <v>474</v>
      </c>
      <c r="E58" s="4" t="s">
        <v>44</v>
      </c>
      <c r="F58" s="4" t="s">
        <v>392</v>
      </c>
      <c r="G58" s="4" t="s">
        <v>92</v>
      </c>
      <c r="H58" s="4" t="s">
        <v>475</v>
      </c>
      <c r="I58" s="4" t="s">
        <v>68</v>
      </c>
      <c r="J58" s="4" t="s">
        <v>47</v>
      </c>
      <c r="K58" s="4" t="s">
        <v>198</v>
      </c>
      <c r="L58" s="4" t="s">
        <v>95</v>
      </c>
      <c r="M58" s="4" t="s">
        <v>49</v>
      </c>
      <c r="N58" s="4" t="s">
        <v>50</v>
      </c>
      <c r="O58" s="4" t="s">
        <v>476</v>
      </c>
      <c r="P58" s="4" t="s">
        <v>395</v>
      </c>
      <c r="Q58" s="4" t="s">
        <v>51</v>
      </c>
      <c r="R58" s="4" t="s">
        <v>477</v>
      </c>
      <c r="S58" s="16" t="n">
        <f aca="false">IF(ISNUMBER(SEARCH("E0",$H58)),1,0)</f>
        <v>0</v>
      </c>
      <c r="T58" s="16" t="n">
        <f aca="false">IF(ISNUMBER(SEARCH("E1",$H58)),1,0)</f>
        <v>0</v>
      </c>
      <c r="U58" s="16" t="n">
        <f aca="false">IF(ISNUMBER(SEARCH("E2",$H58)),1,0)</f>
        <v>0</v>
      </c>
      <c r="V58" s="16" t="n">
        <f aca="false">IF(ISNUMBER(SEARCH("E3",$H58)),1,0)</f>
        <v>1</v>
      </c>
      <c r="W58" s="16" t="n">
        <f aca="false">IF(ISNUMBER(SEARCH("E4",$H58)),1,0)</f>
        <v>1</v>
      </c>
      <c r="X58" s="16" t="n">
        <f aca="false">IF(ISNUMBER(SEARCH("E5",$H58)),1,0)</f>
        <v>1</v>
      </c>
      <c r="Y58" s="16" t="n">
        <f aca="false">IF(ISNUMBER(SEARCH("E6",$H58)),1,0)</f>
        <v>0</v>
      </c>
      <c r="Z58" s="16" t="n">
        <f aca="false">IF(ISNUMBER(SEARCH("E7",$H58)),1,0)</f>
        <v>0</v>
      </c>
      <c r="AA58" s="16" t="n">
        <f aca="false">IF(ISNUMBER(SEARCH("E8",$H58)),1,0)</f>
        <v>0</v>
      </c>
      <c r="AB58" s="16" t="n">
        <f aca="false">IF(ISNUMBER(SEARCH("E9",$H58)),1,0)</f>
        <v>0</v>
      </c>
      <c r="AC58" s="16" t="n">
        <f aca="false">IF(ISNUMBER(SEARCH("TR",$H58)),1,0)</f>
        <v>0</v>
      </c>
      <c r="AD58" s="10" t="s">
        <v>478</v>
      </c>
      <c r="AE58" s="17" t="n">
        <f aca="false">IF(ISNUMBER(SEARCH("S0",$AD58)),1,0)</f>
        <v>0</v>
      </c>
      <c r="AF58" s="17" t="n">
        <f aca="false">IF(ISNUMBER(SEARCH("R01",$AD58)),1,0)</f>
        <v>0</v>
      </c>
      <c r="AG58" s="17" t="n">
        <f aca="false">IF(ISNUMBER(SEARCH("R02R03",$AD58)),1,0)</f>
        <v>0</v>
      </c>
      <c r="AH58" s="17" t="n">
        <f aca="false">IF(ISNUMBER(SEARCH("R04",$AD58)),1,0)</f>
        <v>1</v>
      </c>
      <c r="AI58" s="17" t="n">
        <f aca="false">IF(ISNUMBER(SEARCH("R05",$AD58)),1,0)</f>
        <v>1</v>
      </c>
      <c r="AJ58" s="17" t="n">
        <f aca="false">IF(ISNUMBER(SEARCH("S3R06",$AD58)),1,0)</f>
        <v>1</v>
      </c>
      <c r="AK58" s="17" t="n">
        <f aca="false">IF(ISNUMBER(SEARCH("R07",$AD58)),1,0)</f>
        <v>0</v>
      </c>
      <c r="AL58" s="17" t="n">
        <f aca="false">IF(ISNUMBER(SEARCH("R09",$AD58)),1,0)</f>
        <v>0</v>
      </c>
      <c r="AM58" s="17" t="n">
        <f aca="false">IF(ISNUMBER(SEARCH("R10",$AD58)),1,0)</f>
        <v>0</v>
      </c>
      <c r="AN58" s="17" t="n">
        <f aca="false">IF(ISNUMBER(SEARCH("S5",$AD58)),1,0)</f>
        <v>0</v>
      </c>
      <c r="AO58" s="17" t="n">
        <f aca="false">IF(ISNUMBER(SEARCH("S6",$AD58)),1,0)</f>
        <v>0</v>
      </c>
      <c r="AP58" s="17" t="n">
        <f aca="false">IF(ISNUMBER(SEARCH("TR",$AD58)),1,0)</f>
        <v>0</v>
      </c>
    </row>
    <row r="59" customFormat="false" ht="34.5" hidden="false" customHeight="true" outlineLevel="0" collapsed="false">
      <c r="A59" s="4" t="s">
        <v>479</v>
      </c>
      <c r="B59" s="4" t="s">
        <v>389</v>
      </c>
      <c r="C59" s="4" t="s">
        <v>390</v>
      </c>
      <c r="D59" s="4" t="s">
        <v>480</v>
      </c>
      <c r="E59" s="4" t="s">
        <v>44</v>
      </c>
      <c r="F59" s="4" t="s">
        <v>392</v>
      </c>
      <c r="G59" s="4" t="s">
        <v>92</v>
      </c>
      <c r="H59" s="4" t="s">
        <v>444</v>
      </c>
      <c r="I59" s="4" t="s">
        <v>99</v>
      </c>
      <c r="J59" s="4" t="s">
        <v>47</v>
      </c>
      <c r="K59" s="4" t="s">
        <v>198</v>
      </c>
      <c r="L59" s="4" t="s">
        <v>95</v>
      </c>
      <c r="M59" s="4" t="s">
        <v>49</v>
      </c>
      <c r="N59" s="4" t="s">
        <v>61</v>
      </c>
      <c r="O59" s="4" t="s">
        <v>481</v>
      </c>
      <c r="P59" s="4" t="s">
        <v>395</v>
      </c>
      <c r="Q59" s="4" t="s">
        <v>51</v>
      </c>
      <c r="R59" s="4" t="s">
        <v>482</v>
      </c>
      <c r="S59" s="16" t="n">
        <f aca="false">IF(ISNUMBER(SEARCH("E0",$H59)),1,0)</f>
        <v>0</v>
      </c>
      <c r="T59" s="16" t="n">
        <f aca="false">IF(ISNUMBER(SEARCH("E1",$H59)),1,0)</f>
        <v>0</v>
      </c>
      <c r="U59" s="16" t="n">
        <f aca="false">IF(ISNUMBER(SEARCH("E2",$H59)),1,0)</f>
        <v>0</v>
      </c>
      <c r="V59" s="16" t="n">
        <f aca="false">IF(ISNUMBER(SEARCH("E3",$H59)),1,0)</f>
        <v>0</v>
      </c>
      <c r="W59" s="16" t="n">
        <f aca="false">IF(ISNUMBER(SEARCH("E4",$H59)),1,0)</f>
        <v>0</v>
      </c>
      <c r="X59" s="16" t="n">
        <f aca="false">IF(ISNUMBER(SEARCH("E5",$H59)),1,0)</f>
        <v>1</v>
      </c>
      <c r="Y59" s="16" t="n">
        <f aca="false">IF(ISNUMBER(SEARCH("E6",$H59)),1,0)</f>
        <v>0</v>
      </c>
      <c r="Z59" s="16" t="n">
        <f aca="false">IF(ISNUMBER(SEARCH("E7",$H59)),1,0)</f>
        <v>0</v>
      </c>
      <c r="AA59" s="16" t="n">
        <f aca="false">IF(ISNUMBER(SEARCH("E8",$H59)),1,0)</f>
        <v>0</v>
      </c>
      <c r="AB59" s="16" t="n">
        <f aca="false">IF(ISNUMBER(SEARCH("E9",$H59)),1,0)</f>
        <v>1</v>
      </c>
      <c r="AC59" s="16" t="n">
        <f aca="false">IF(ISNUMBER(SEARCH("TR",$H59)),1,0)</f>
        <v>0</v>
      </c>
      <c r="AD59" s="10" t="s">
        <v>448</v>
      </c>
      <c r="AE59" s="17" t="n">
        <f aca="false">IF(ISNUMBER(SEARCH("S0",$AD59)),1,0)</f>
        <v>0</v>
      </c>
      <c r="AF59" s="17" t="n">
        <f aca="false">IF(ISNUMBER(SEARCH("R01",$AD59)),1,0)</f>
        <v>0</v>
      </c>
      <c r="AG59" s="17" t="n">
        <f aca="false">IF(ISNUMBER(SEARCH("R02R03",$AD59)),1,0)</f>
        <v>0</v>
      </c>
      <c r="AH59" s="17" t="n">
        <f aca="false">IF(ISNUMBER(SEARCH("R04",$AD59)),1,0)</f>
        <v>0</v>
      </c>
      <c r="AI59" s="17" t="n">
        <f aca="false">IF(ISNUMBER(SEARCH("R05",$AD59)),1,0)</f>
        <v>0</v>
      </c>
      <c r="AJ59" s="17" t="n">
        <f aca="false">IF(ISNUMBER(SEARCH("S3R06",$AD59)),1,0)</f>
        <v>1</v>
      </c>
      <c r="AK59" s="17" t="n">
        <f aca="false">IF(ISNUMBER(SEARCH("R07",$AD59)),1,0)</f>
        <v>0</v>
      </c>
      <c r="AL59" s="17" t="n">
        <f aca="false">IF(ISNUMBER(SEARCH("R09",$AD59)),1,0)</f>
        <v>0</v>
      </c>
      <c r="AM59" s="17" t="n">
        <f aca="false">IF(ISNUMBER(SEARCH("R10",$AD59)),1,0)</f>
        <v>0</v>
      </c>
      <c r="AN59" s="17" t="n">
        <f aca="false">IF(ISNUMBER(SEARCH("S5",$AD59)),1,0)</f>
        <v>0</v>
      </c>
      <c r="AO59" s="17" t="n">
        <f aca="false">IF(ISNUMBER(SEARCH("S6",$AD59)),1,0)</f>
        <v>1</v>
      </c>
      <c r="AP59" s="17" t="n">
        <f aca="false">IF(ISNUMBER(SEARCH("TR",$AD59)),1,0)</f>
        <v>0</v>
      </c>
    </row>
    <row r="60" customFormat="false" ht="34.5" hidden="false" customHeight="true" outlineLevel="0" collapsed="false">
      <c r="A60" s="4" t="s">
        <v>483</v>
      </c>
      <c r="B60" s="4" t="s">
        <v>389</v>
      </c>
      <c r="C60" s="4" t="s">
        <v>390</v>
      </c>
      <c r="D60" s="4" t="s">
        <v>484</v>
      </c>
      <c r="E60" s="4" t="s">
        <v>44</v>
      </c>
      <c r="F60" s="4" t="s">
        <v>392</v>
      </c>
      <c r="G60" s="4" t="s">
        <v>98</v>
      </c>
      <c r="H60" s="4" t="s">
        <v>444</v>
      </c>
      <c r="I60" s="4" t="s">
        <v>106</v>
      </c>
      <c r="J60" s="4" t="s">
        <v>47</v>
      </c>
      <c r="K60" s="4" t="s">
        <v>198</v>
      </c>
      <c r="L60" s="4" t="s">
        <v>95</v>
      </c>
      <c r="M60" s="4" t="s">
        <v>49</v>
      </c>
      <c r="N60" s="4" t="s">
        <v>61</v>
      </c>
      <c r="O60" s="4" t="s">
        <v>485</v>
      </c>
      <c r="P60" s="4" t="s">
        <v>395</v>
      </c>
      <c r="Q60" s="4" t="s">
        <v>51</v>
      </c>
      <c r="R60" s="4" t="s">
        <v>486</v>
      </c>
      <c r="S60" s="16" t="n">
        <f aca="false">IF(ISNUMBER(SEARCH("E0",$H60)),1,0)</f>
        <v>0</v>
      </c>
      <c r="T60" s="16" t="n">
        <f aca="false">IF(ISNUMBER(SEARCH("E1",$H60)),1,0)</f>
        <v>0</v>
      </c>
      <c r="U60" s="16" t="n">
        <f aca="false">IF(ISNUMBER(SEARCH("E2",$H60)),1,0)</f>
        <v>0</v>
      </c>
      <c r="V60" s="16" t="n">
        <f aca="false">IF(ISNUMBER(SEARCH("E3",$H60)),1,0)</f>
        <v>0</v>
      </c>
      <c r="W60" s="16" t="n">
        <f aca="false">IF(ISNUMBER(SEARCH("E4",$H60)),1,0)</f>
        <v>0</v>
      </c>
      <c r="X60" s="16" t="n">
        <f aca="false">IF(ISNUMBER(SEARCH("E5",$H60)),1,0)</f>
        <v>1</v>
      </c>
      <c r="Y60" s="16" t="n">
        <f aca="false">IF(ISNUMBER(SEARCH("E6",$H60)),1,0)</f>
        <v>0</v>
      </c>
      <c r="Z60" s="16" t="n">
        <f aca="false">IF(ISNUMBER(SEARCH("E7",$H60)),1,0)</f>
        <v>0</v>
      </c>
      <c r="AA60" s="16" t="n">
        <f aca="false">IF(ISNUMBER(SEARCH("E8",$H60)),1,0)</f>
        <v>0</v>
      </c>
      <c r="AB60" s="16" t="n">
        <f aca="false">IF(ISNUMBER(SEARCH("E9",$H60)),1,0)</f>
        <v>1</v>
      </c>
      <c r="AC60" s="16" t="n">
        <f aca="false">IF(ISNUMBER(SEARCH("TR",$H60)),1,0)</f>
        <v>0</v>
      </c>
      <c r="AD60" s="10" t="s">
        <v>448</v>
      </c>
      <c r="AE60" s="17" t="n">
        <f aca="false">IF(ISNUMBER(SEARCH("S0",$AD60)),1,0)</f>
        <v>0</v>
      </c>
      <c r="AF60" s="17" t="n">
        <f aca="false">IF(ISNUMBER(SEARCH("R01",$AD60)),1,0)</f>
        <v>0</v>
      </c>
      <c r="AG60" s="17" t="n">
        <f aca="false">IF(ISNUMBER(SEARCH("R02R03",$AD60)),1,0)</f>
        <v>0</v>
      </c>
      <c r="AH60" s="17" t="n">
        <f aca="false">IF(ISNUMBER(SEARCH("R04",$AD60)),1,0)</f>
        <v>0</v>
      </c>
      <c r="AI60" s="17" t="n">
        <f aca="false">IF(ISNUMBER(SEARCH("R05",$AD60)),1,0)</f>
        <v>0</v>
      </c>
      <c r="AJ60" s="17" t="n">
        <f aca="false">IF(ISNUMBER(SEARCH("S3R06",$AD60)),1,0)</f>
        <v>1</v>
      </c>
      <c r="AK60" s="17" t="n">
        <f aca="false">IF(ISNUMBER(SEARCH("R07",$AD60)),1,0)</f>
        <v>0</v>
      </c>
      <c r="AL60" s="17" t="n">
        <f aca="false">IF(ISNUMBER(SEARCH("R09",$AD60)),1,0)</f>
        <v>0</v>
      </c>
      <c r="AM60" s="17" t="n">
        <f aca="false">IF(ISNUMBER(SEARCH("R10",$AD60)),1,0)</f>
        <v>0</v>
      </c>
      <c r="AN60" s="17" t="n">
        <f aca="false">IF(ISNUMBER(SEARCH("S5",$AD60)),1,0)</f>
        <v>0</v>
      </c>
      <c r="AO60" s="17" t="n">
        <f aca="false">IF(ISNUMBER(SEARCH("S6",$AD60)),1,0)</f>
        <v>1</v>
      </c>
      <c r="AP60" s="17" t="n">
        <f aca="false">IF(ISNUMBER(SEARCH("TR",$AD60)),1,0)</f>
        <v>0</v>
      </c>
    </row>
    <row r="61" customFormat="false" ht="45.75" hidden="false" customHeight="true" outlineLevel="0" collapsed="false">
      <c r="A61" s="4" t="s">
        <v>487</v>
      </c>
      <c r="B61" s="4" t="s">
        <v>389</v>
      </c>
      <c r="C61" s="4" t="s">
        <v>390</v>
      </c>
      <c r="D61" s="4" t="s">
        <v>488</v>
      </c>
      <c r="E61" s="4" t="s">
        <v>44</v>
      </c>
      <c r="F61" s="4" t="s">
        <v>392</v>
      </c>
      <c r="G61" s="4" t="s">
        <v>92</v>
      </c>
      <c r="H61" s="4" t="s">
        <v>444</v>
      </c>
      <c r="I61" s="4" t="s">
        <v>99</v>
      </c>
      <c r="J61" s="4" t="s">
        <v>78</v>
      </c>
      <c r="K61" s="4" t="s">
        <v>198</v>
      </c>
      <c r="L61" s="4" t="s">
        <v>95</v>
      </c>
      <c r="M61" s="4" t="s">
        <v>49</v>
      </c>
      <c r="N61" s="4" t="s">
        <v>61</v>
      </c>
      <c r="O61" s="4" t="s">
        <v>489</v>
      </c>
      <c r="P61" s="4" t="s">
        <v>395</v>
      </c>
      <c r="Q61" s="4" t="s">
        <v>51</v>
      </c>
      <c r="R61" s="4" t="s">
        <v>490</v>
      </c>
      <c r="S61" s="16" t="n">
        <f aca="false">IF(ISNUMBER(SEARCH("E0",$H61)),1,0)</f>
        <v>0</v>
      </c>
      <c r="T61" s="16" t="n">
        <f aca="false">IF(ISNUMBER(SEARCH("E1",$H61)),1,0)</f>
        <v>0</v>
      </c>
      <c r="U61" s="16" t="n">
        <f aca="false">IF(ISNUMBER(SEARCH("E2",$H61)),1,0)</f>
        <v>0</v>
      </c>
      <c r="V61" s="16" t="n">
        <f aca="false">IF(ISNUMBER(SEARCH("E3",$H61)),1,0)</f>
        <v>0</v>
      </c>
      <c r="W61" s="16" t="n">
        <f aca="false">IF(ISNUMBER(SEARCH("E4",$H61)),1,0)</f>
        <v>0</v>
      </c>
      <c r="X61" s="16" t="n">
        <f aca="false">IF(ISNUMBER(SEARCH("E5",$H61)),1,0)</f>
        <v>1</v>
      </c>
      <c r="Y61" s="16" t="n">
        <f aca="false">IF(ISNUMBER(SEARCH("E6",$H61)),1,0)</f>
        <v>0</v>
      </c>
      <c r="Z61" s="16" t="n">
        <f aca="false">IF(ISNUMBER(SEARCH("E7",$H61)),1,0)</f>
        <v>0</v>
      </c>
      <c r="AA61" s="16" t="n">
        <f aca="false">IF(ISNUMBER(SEARCH("E8",$H61)),1,0)</f>
        <v>0</v>
      </c>
      <c r="AB61" s="16" t="n">
        <f aca="false">IF(ISNUMBER(SEARCH("E9",$H61)),1,0)</f>
        <v>1</v>
      </c>
      <c r="AC61" s="16" t="n">
        <f aca="false">IF(ISNUMBER(SEARCH("TR",$H61)),1,0)</f>
        <v>0</v>
      </c>
      <c r="AD61" s="10" t="s">
        <v>448</v>
      </c>
      <c r="AE61" s="17" t="n">
        <f aca="false">IF(ISNUMBER(SEARCH("S0",$AD61)),1,0)</f>
        <v>0</v>
      </c>
      <c r="AF61" s="17" t="n">
        <f aca="false">IF(ISNUMBER(SEARCH("R01",$AD61)),1,0)</f>
        <v>0</v>
      </c>
      <c r="AG61" s="17" t="n">
        <f aca="false">IF(ISNUMBER(SEARCH("R02R03",$AD61)),1,0)</f>
        <v>0</v>
      </c>
      <c r="AH61" s="17" t="n">
        <f aca="false">IF(ISNUMBER(SEARCH("R04",$AD61)),1,0)</f>
        <v>0</v>
      </c>
      <c r="AI61" s="17" t="n">
        <f aca="false">IF(ISNUMBER(SEARCH("R05",$AD61)),1,0)</f>
        <v>0</v>
      </c>
      <c r="AJ61" s="17" t="n">
        <f aca="false">IF(ISNUMBER(SEARCH("S3R06",$AD61)),1,0)</f>
        <v>1</v>
      </c>
      <c r="AK61" s="17" t="n">
        <f aca="false">IF(ISNUMBER(SEARCH("R07",$AD61)),1,0)</f>
        <v>0</v>
      </c>
      <c r="AL61" s="17" t="n">
        <f aca="false">IF(ISNUMBER(SEARCH("R09",$AD61)),1,0)</f>
        <v>0</v>
      </c>
      <c r="AM61" s="17" t="n">
        <f aca="false">IF(ISNUMBER(SEARCH("R10",$AD61)),1,0)</f>
        <v>0</v>
      </c>
      <c r="AN61" s="17" t="n">
        <f aca="false">IF(ISNUMBER(SEARCH("S5",$AD61)),1,0)</f>
        <v>0</v>
      </c>
      <c r="AO61" s="17" t="n">
        <f aca="false">IF(ISNUMBER(SEARCH("S6",$AD61)),1,0)</f>
        <v>1</v>
      </c>
      <c r="AP61" s="17" t="n">
        <f aca="false">IF(ISNUMBER(SEARCH("TR",$AD61)),1,0)</f>
        <v>0</v>
      </c>
    </row>
    <row r="62" customFormat="false" ht="45.75" hidden="false" customHeight="true" outlineLevel="0" collapsed="false">
      <c r="A62" s="4" t="s">
        <v>491</v>
      </c>
      <c r="B62" s="4" t="s">
        <v>389</v>
      </c>
      <c r="C62" s="4" t="s">
        <v>390</v>
      </c>
      <c r="D62" s="4" t="s">
        <v>492</v>
      </c>
      <c r="E62" s="4" t="s">
        <v>44</v>
      </c>
      <c r="F62" s="4" t="s">
        <v>392</v>
      </c>
      <c r="G62" s="4" t="s">
        <v>67</v>
      </c>
      <c r="H62" s="4" t="s">
        <v>493</v>
      </c>
      <c r="I62" s="4" t="s">
        <v>77</v>
      </c>
      <c r="J62" s="4" t="s">
        <v>47</v>
      </c>
      <c r="K62" s="4" t="s">
        <v>494</v>
      </c>
      <c r="L62" s="4" t="s">
        <v>59</v>
      </c>
      <c r="M62" s="4" t="s">
        <v>49</v>
      </c>
      <c r="N62" s="4" t="s">
        <v>50</v>
      </c>
      <c r="O62" s="4" t="s">
        <v>495</v>
      </c>
      <c r="P62" s="4" t="s">
        <v>395</v>
      </c>
      <c r="Q62" s="4" t="s">
        <v>51</v>
      </c>
      <c r="R62" s="4" t="s">
        <v>496</v>
      </c>
      <c r="S62" s="16" t="n">
        <f aca="false">IF(ISNUMBER(SEARCH("E0",$H62)),1,0)</f>
        <v>0</v>
      </c>
      <c r="T62" s="16" t="n">
        <f aca="false">IF(ISNUMBER(SEARCH("E1",$H62)),1,0)</f>
        <v>1</v>
      </c>
      <c r="U62" s="16" t="n">
        <f aca="false">IF(ISNUMBER(SEARCH("E2",$H62)),1,0)</f>
        <v>0</v>
      </c>
      <c r="V62" s="16" t="n">
        <f aca="false">IF(ISNUMBER(SEARCH("E3",$H62)),1,0)</f>
        <v>0</v>
      </c>
      <c r="W62" s="16" t="n">
        <f aca="false">IF(ISNUMBER(SEARCH("E4",$H62)),1,0)</f>
        <v>1</v>
      </c>
      <c r="X62" s="16" t="n">
        <f aca="false">IF(ISNUMBER(SEARCH("E5",$H62)),1,0)</f>
        <v>0</v>
      </c>
      <c r="Y62" s="16" t="n">
        <f aca="false">IF(ISNUMBER(SEARCH("E6",$H62)),1,0)</f>
        <v>0</v>
      </c>
      <c r="Z62" s="16" t="n">
        <f aca="false">IF(ISNUMBER(SEARCH("E7",$H62)),1,0)</f>
        <v>1</v>
      </c>
      <c r="AA62" s="16" t="n">
        <f aca="false">IF(ISNUMBER(SEARCH("E8",$H62)),1,0)</f>
        <v>1</v>
      </c>
      <c r="AB62" s="16" t="n">
        <f aca="false">IF(ISNUMBER(SEARCH("E9",$H62)),1,0)</f>
        <v>0</v>
      </c>
      <c r="AC62" s="16" t="n">
        <f aca="false">IF(ISNUMBER(SEARCH("TR",$H62)),1,0)</f>
        <v>0</v>
      </c>
      <c r="AD62" s="10" t="s">
        <v>497</v>
      </c>
      <c r="AE62" s="17" t="n">
        <f aca="false">IF(ISNUMBER(SEARCH("S0",$AD62)),1,0)</f>
        <v>0</v>
      </c>
      <c r="AF62" s="17" t="n">
        <f aca="false">IF(ISNUMBER(SEARCH("R01",$AD62)),1,0)</f>
        <v>1</v>
      </c>
      <c r="AG62" s="17" t="n">
        <f aca="false">IF(ISNUMBER(SEARCH("R02R03",$AD62)),1,0)</f>
        <v>0</v>
      </c>
      <c r="AH62" s="17" t="n">
        <f aca="false">IF(ISNUMBER(SEARCH("R04",$AD62)),1,0)</f>
        <v>0</v>
      </c>
      <c r="AI62" s="17" t="n">
        <f aca="false">IF(ISNUMBER(SEARCH("R05",$AD62)),1,0)</f>
        <v>1</v>
      </c>
      <c r="AJ62" s="17" t="n">
        <f aca="false">IF(ISNUMBER(SEARCH("S3R06",$AD62)),1,0)</f>
        <v>0</v>
      </c>
      <c r="AK62" s="17" t="n">
        <f aca="false">IF(ISNUMBER(SEARCH("R07",$AD62)),1,0)</f>
        <v>0</v>
      </c>
      <c r="AL62" s="17" t="n">
        <f aca="false">IF(ISNUMBER(SEARCH("R09",$AD62)),1,0)</f>
        <v>0</v>
      </c>
      <c r="AM62" s="17" t="n">
        <f aca="false">IF(ISNUMBER(SEARCH("R10",$AD62)),1,0)</f>
        <v>1</v>
      </c>
      <c r="AN62" s="17" t="n">
        <f aca="false">IF(ISNUMBER(SEARCH("S5",$AD62)),1,0)</f>
        <v>1</v>
      </c>
      <c r="AO62" s="17" t="n">
        <f aca="false">IF(ISNUMBER(SEARCH("S6",$AD62)),1,0)</f>
        <v>0</v>
      </c>
      <c r="AP62" s="17" t="n">
        <f aca="false">IF(ISNUMBER(SEARCH("TR",$AD62)),1,0)</f>
        <v>0</v>
      </c>
    </row>
    <row r="63" customFormat="false" ht="34.5" hidden="false" customHeight="true" outlineLevel="0" collapsed="false">
      <c r="A63" s="4" t="s">
        <v>498</v>
      </c>
      <c r="B63" s="4" t="s">
        <v>389</v>
      </c>
      <c r="C63" s="4" t="s">
        <v>390</v>
      </c>
      <c r="D63" s="4" t="s">
        <v>499</v>
      </c>
      <c r="E63" s="4" t="s">
        <v>44</v>
      </c>
      <c r="F63" s="4" t="s">
        <v>392</v>
      </c>
      <c r="G63" s="4" t="s">
        <v>76</v>
      </c>
      <c r="H63" s="4" t="s">
        <v>139</v>
      </c>
      <c r="I63" s="4" t="s">
        <v>93</v>
      </c>
      <c r="J63" s="4" t="s">
        <v>86</v>
      </c>
      <c r="K63" s="4" t="s">
        <v>198</v>
      </c>
      <c r="L63" s="4" t="s">
        <v>48</v>
      </c>
      <c r="M63" s="4" t="s">
        <v>49</v>
      </c>
      <c r="N63" s="4" t="s">
        <v>50</v>
      </c>
      <c r="O63" s="4" t="s">
        <v>500</v>
      </c>
      <c r="P63" s="4" t="s">
        <v>395</v>
      </c>
      <c r="Q63" s="4" t="s">
        <v>51</v>
      </c>
      <c r="R63" s="4" t="s">
        <v>501</v>
      </c>
      <c r="S63" s="16" t="n">
        <f aca="false">IF(ISNUMBER(SEARCH("E0",$H63)),1,0)</f>
        <v>1</v>
      </c>
      <c r="T63" s="16" t="n">
        <f aca="false">IF(ISNUMBER(SEARCH("E1",$H63)),1,0)</f>
        <v>0</v>
      </c>
      <c r="U63" s="16" t="n">
        <f aca="false">IF(ISNUMBER(SEARCH("E2",$H63)),1,0)</f>
        <v>0</v>
      </c>
      <c r="V63" s="16" t="n">
        <f aca="false">IF(ISNUMBER(SEARCH("E3",$H63)),1,0)</f>
        <v>0</v>
      </c>
      <c r="W63" s="16" t="n">
        <f aca="false">IF(ISNUMBER(SEARCH("E4",$H63)),1,0)</f>
        <v>0</v>
      </c>
      <c r="X63" s="16" t="n">
        <f aca="false">IF(ISNUMBER(SEARCH("E5",$H63)),1,0)</f>
        <v>0</v>
      </c>
      <c r="Y63" s="16" t="n">
        <f aca="false">IF(ISNUMBER(SEARCH("E6",$H63)),1,0)</f>
        <v>0</v>
      </c>
      <c r="Z63" s="16" t="n">
        <f aca="false">IF(ISNUMBER(SEARCH("E7",$H63)),1,0)</f>
        <v>0</v>
      </c>
      <c r="AA63" s="16" t="n">
        <f aca="false">IF(ISNUMBER(SEARCH("E8",$H63)),1,0)</f>
        <v>0</v>
      </c>
      <c r="AB63" s="16" t="n">
        <f aca="false">IF(ISNUMBER(SEARCH("E9",$H63)),1,0)</f>
        <v>0</v>
      </c>
      <c r="AC63" s="16" t="n">
        <f aca="false">IF(ISNUMBER(SEARCH("TR",$H63)),1,0)</f>
        <v>0</v>
      </c>
      <c r="AD63" s="10" t="s">
        <v>182</v>
      </c>
      <c r="AE63" s="17" t="n">
        <f aca="false">IF(ISNUMBER(SEARCH("S0",$AD63)),1,0)</f>
        <v>1</v>
      </c>
      <c r="AF63" s="17" t="n">
        <f aca="false">IF(ISNUMBER(SEARCH("R01",$AD63)),1,0)</f>
        <v>0</v>
      </c>
      <c r="AG63" s="17" t="n">
        <f aca="false">IF(ISNUMBER(SEARCH("R02R03",$AD63)),1,0)</f>
        <v>0</v>
      </c>
      <c r="AH63" s="17" t="n">
        <f aca="false">IF(ISNUMBER(SEARCH("R04",$AD63)),1,0)</f>
        <v>0</v>
      </c>
      <c r="AI63" s="17" t="n">
        <f aca="false">IF(ISNUMBER(SEARCH("R05",$AD63)),1,0)</f>
        <v>0</v>
      </c>
      <c r="AJ63" s="17" t="n">
        <f aca="false">IF(ISNUMBER(SEARCH("S3R06",$AD63)),1,0)</f>
        <v>0</v>
      </c>
      <c r="AK63" s="17" t="n">
        <f aca="false">IF(ISNUMBER(SEARCH("R07",$AD63)),1,0)</f>
        <v>0</v>
      </c>
      <c r="AL63" s="17" t="n">
        <f aca="false">IF(ISNUMBER(SEARCH("R09",$AD63)),1,0)</f>
        <v>0</v>
      </c>
      <c r="AM63" s="17" t="n">
        <f aca="false">IF(ISNUMBER(SEARCH("R10",$AD63)),1,0)</f>
        <v>0</v>
      </c>
      <c r="AN63" s="17" t="n">
        <f aca="false">IF(ISNUMBER(SEARCH("S5",$AD63)),1,0)</f>
        <v>0</v>
      </c>
      <c r="AO63" s="17" t="n">
        <f aca="false">IF(ISNUMBER(SEARCH("S6",$AD63)),1,0)</f>
        <v>0</v>
      </c>
      <c r="AP63" s="17" t="n">
        <f aca="false">IF(ISNUMBER(SEARCH("TR",$AD63)),1,0)</f>
        <v>0</v>
      </c>
    </row>
    <row r="64" customFormat="false" ht="45.75" hidden="false" customHeight="true" outlineLevel="0" collapsed="false">
      <c r="A64" s="4" t="s">
        <v>502</v>
      </c>
      <c r="B64" s="4" t="s">
        <v>389</v>
      </c>
      <c r="C64" s="4" t="s">
        <v>390</v>
      </c>
      <c r="D64" s="4" t="s">
        <v>503</v>
      </c>
      <c r="E64" s="4" t="s">
        <v>44</v>
      </c>
      <c r="F64" s="4" t="s">
        <v>392</v>
      </c>
      <c r="G64" s="4" t="s">
        <v>98</v>
      </c>
      <c r="H64" s="4" t="s">
        <v>504</v>
      </c>
      <c r="I64" s="4" t="s">
        <v>106</v>
      </c>
      <c r="J64" s="4" t="s">
        <v>94</v>
      </c>
      <c r="K64" s="4" t="s">
        <v>198</v>
      </c>
      <c r="L64" s="4" t="s">
        <v>95</v>
      </c>
      <c r="M64" s="4" t="s">
        <v>49</v>
      </c>
      <c r="N64" s="4" t="s">
        <v>50</v>
      </c>
      <c r="O64" s="4" t="s">
        <v>505</v>
      </c>
      <c r="P64" s="4" t="s">
        <v>395</v>
      </c>
      <c r="Q64" s="4" t="s">
        <v>51</v>
      </c>
      <c r="R64" s="4" t="s">
        <v>506</v>
      </c>
      <c r="S64" s="16" t="n">
        <f aca="false">IF(ISNUMBER(SEARCH("E0",$H64)),1,0)</f>
        <v>0</v>
      </c>
      <c r="T64" s="16" t="n">
        <f aca="false">IF(ISNUMBER(SEARCH("E1",$H64)),1,0)</f>
        <v>0</v>
      </c>
      <c r="U64" s="16" t="n">
        <f aca="false">IF(ISNUMBER(SEARCH("E2",$H64)),1,0)</f>
        <v>0</v>
      </c>
      <c r="V64" s="16" t="n">
        <f aca="false">IF(ISNUMBER(SEARCH("E3",$H64)),1,0)</f>
        <v>0</v>
      </c>
      <c r="W64" s="16" t="n">
        <f aca="false">IF(ISNUMBER(SEARCH("E4",$H64)),1,0)</f>
        <v>0</v>
      </c>
      <c r="X64" s="16" t="n">
        <f aca="false">IF(ISNUMBER(SEARCH("E5",$H64)),1,0)</f>
        <v>1</v>
      </c>
      <c r="Y64" s="16" t="n">
        <f aca="false">IF(ISNUMBER(SEARCH("E6",$H64)),1,0)</f>
        <v>0</v>
      </c>
      <c r="Z64" s="16" t="n">
        <f aca="false">IF(ISNUMBER(SEARCH("E7",$H64)),1,0)</f>
        <v>0</v>
      </c>
      <c r="AA64" s="16" t="n">
        <f aca="false">IF(ISNUMBER(SEARCH("E8",$H64)),1,0)</f>
        <v>1</v>
      </c>
      <c r="AB64" s="16" t="n">
        <f aca="false">IF(ISNUMBER(SEARCH("E9",$H64)),1,0)</f>
        <v>1</v>
      </c>
      <c r="AC64" s="16" t="n">
        <f aca="false">IF(ISNUMBER(SEARCH("TR",$H64)),1,0)</f>
        <v>0</v>
      </c>
      <c r="AD64" s="10" t="s">
        <v>507</v>
      </c>
      <c r="AE64" s="17" t="n">
        <f aca="false">IF(ISNUMBER(SEARCH("S0",$AD64)),1,0)</f>
        <v>0</v>
      </c>
      <c r="AF64" s="17" t="n">
        <f aca="false">IF(ISNUMBER(SEARCH("R01",$AD64)),1,0)</f>
        <v>0</v>
      </c>
      <c r="AG64" s="17" t="n">
        <f aca="false">IF(ISNUMBER(SEARCH("R02R03",$AD64)),1,0)</f>
        <v>0</v>
      </c>
      <c r="AH64" s="17" t="n">
        <f aca="false">IF(ISNUMBER(SEARCH("R04",$AD64)),1,0)</f>
        <v>0</v>
      </c>
      <c r="AI64" s="17" t="n">
        <f aca="false">IF(ISNUMBER(SEARCH("R05",$AD64)),1,0)</f>
        <v>0</v>
      </c>
      <c r="AJ64" s="17" t="n">
        <f aca="false">IF(ISNUMBER(SEARCH("S3R06",$AD64)),1,0)</f>
        <v>1</v>
      </c>
      <c r="AK64" s="17" t="n">
        <f aca="false">IF(ISNUMBER(SEARCH("R07",$AD64)),1,0)</f>
        <v>0</v>
      </c>
      <c r="AL64" s="17" t="n">
        <f aca="false">IF(ISNUMBER(SEARCH("R09",$AD64)),1,0)</f>
        <v>0</v>
      </c>
      <c r="AM64" s="17" t="n">
        <f aca="false">IF(ISNUMBER(SEARCH("R10",$AD64)),1,0)</f>
        <v>0</v>
      </c>
      <c r="AN64" s="17" t="n">
        <f aca="false">IF(ISNUMBER(SEARCH("S5",$AD64)),1,0)</f>
        <v>1</v>
      </c>
      <c r="AO64" s="17" t="n">
        <f aca="false">IF(ISNUMBER(SEARCH("S6",$AD64)),1,0)</f>
        <v>1</v>
      </c>
      <c r="AP64" s="17" t="n">
        <f aca="false">IF(ISNUMBER(SEARCH("TR",$AD64)),1,0)</f>
        <v>0</v>
      </c>
    </row>
    <row r="65" customFormat="false" ht="34.5" hidden="false" customHeight="true" outlineLevel="0" collapsed="false">
      <c r="A65" s="4" t="s">
        <v>508</v>
      </c>
      <c r="B65" s="4" t="s">
        <v>389</v>
      </c>
      <c r="C65" s="4" t="s">
        <v>390</v>
      </c>
      <c r="D65" s="4" t="s">
        <v>509</v>
      </c>
      <c r="E65" s="4" t="s">
        <v>44</v>
      </c>
      <c r="F65" s="4" t="s">
        <v>392</v>
      </c>
      <c r="G65" s="4" t="s">
        <v>76</v>
      </c>
      <c r="H65" s="4" t="s">
        <v>156</v>
      </c>
      <c r="I65" s="4" t="s">
        <v>77</v>
      </c>
      <c r="J65" s="4" t="s">
        <v>107</v>
      </c>
      <c r="K65" s="4" t="s">
        <v>198</v>
      </c>
      <c r="L65" s="4" t="s">
        <v>48</v>
      </c>
      <c r="M65" s="4" t="s">
        <v>49</v>
      </c>
      <c r="N65" s="4" t="s">
        <v>50</v>
      </c>
      <c r="O65" s="4" t="s">
        <v>510</v>
      </c>
      <c r="P65" s="4" t="s">
        <v>395</v>
      </c>
      <c r="Q65" s="4" t="s">
        <v>51</v>
      </c>
      <c r="R65" s="4" t="s">
        <v>511</v>
      </c>
      <c r="S65" s="16" t="n">
        <f aca="false">IF(ISNUMBER(SEARCH("E0",$H65)),1,0)</f>
        <v>0</v>
      </c>
      <c r="T65" s="16" t="n">
        <f aca="false">IF(ISNUMBER(SEARCH("E1",$H65)),1,0)</f>
        <v>0</v>
      </c>
      <c r="U65" s="16" t="n">
        <f aca="false">IF(ISNUMBER(SEARCH("E2",$H65)),1,0)</f>
        <v>0</v>
      </c>
      <c r="V65" s="16" t="n">
        <f aca="false">IF(ISNUMBER(SEARCH("E3",$H65)),1,0)</f>
        <v>0</v>
      </c>
      <c r="W65" s="16" t="n">
        <f aca="false">IF(ISNUMBER(SEARCH("E4",$H65)),1,0)</f>
        <v>0</v>
      </c>
      <c r="X65" s="16" t="n">
        <f aca="false">IF(ISNUMBER(SEARCH("E5",$H65)),1,0)</f>
        <v>0</v>
      </c>
      <c r="Y65" s="16" t="n">
        <f aca="false">IF(ISNUMBER(SEARCH("E6",$H65)),1,0)</f>
        <v>0</v>
      </c>
      <c r="Z65" s="16" t="n">
        <f aca="false">IF(ISNUMBER(SEARCH("E7",$H65)),1,0)</f>
        <v>0</v>
      </c>
      <c r="AA65" s="16" t="n">
        <f aca="false">IF(ISNUMBER(SEARCH("E8",$H65)),1,0)</f>
        <v>1</v>
      </c>
      <c r="AB65" s="16" t="n">
        <f aca="false">IF(ISNUMBER(SEARCH("E9",$H65)),1,0)</f>
        <v>0</v>
      </c>
      <c r="AC65" s="16" t="n">
        <f aca="false">IF(ISNUMBER(SEARCH("TR",$H65)),1,0)</f>
        <v>0</v>
      </c>
      <c r="AD65" s="10" t="s">
        <v>191</v>
      </c>
      <c r="AE65" s="17" t="n">
        <f aca="false">IF(ISNUMBER(SEARCH("S0",$AD65)),1,0)</f>
        <v>0</v>
      </c>
      <c r="AF65" s="17" t="n">
        <f aca="false">IF(ISNUMBER(SEARCH("R01",$AD65)),1,0)</f>
        <v>0</v>
      </c>
      <c r="AG65" s="17" t="n">
        <f aca="false">IF(ISNUMBER(SEARCH("R02R03",$AD65)),1,0)</f>
        <v>0</v>
      </c>
      <c r="AH65" s="17" t="n">
        <f aca="false">IF(ISNUMBER(SEARCH("R04",$AD65)),1,0)</f>
        <v>0</v>
      </c>
      <c r="AI65" s="17" t="n">
        <f aca="false">IF(ISNUMBER(SEARCH("R05",$AD65)),1,0)</f>
        <v>0</v>
      </c>
      <c r="AJ65" s="17" t="n">
        <f aca="false">IF(ISNUMBER(SEARCH("S3R06",$AD65)),1,0)</f>
        <v>0</v>
      </c>
      <c r="AK65" s="17" t="n">
        <f aca="false">IF(ISNUMBER(SEARCH("R07",$AD65)),1,0)</f>
        <v>0</v>
      </c>
      <c r="AL65" s="17" t="n">
        <f aca="false">IF(ISNUMBER(SEARCH("R09",$AD65)),1,0)</f>
        <v>0</v>
      </c>
      <c r="AM65" s="17" t="n">
        <f aca="false">IF(ISNUMBER(SEARCH("R10",$AD65)),1,0)</f>
        <v>0</v>
      </c>
      <c r="AN65" s="17" t="n">
        <f aca="false">IF(ISNUMBER(SEARCH("S5",$AD65)),1,0)</f>
        <v>1</v>
      </c>
      <c r="AO65" s="17" t="n">
        <f aca="false">IF(ISNUMBER(SEARCH("S6",$AD65)),1,0)</f>
        <v>0</v>
      </c>
      <c r="AP65" s="17" t="n">
        <f aca="false">IF(ISNUMBER(SEARCH("TR",$AD65)),1,0)</f>
        <v>0</v>
      </c>
    </row>
    <row r="66" customFormat="false" ht="45.75" hidden="false" customHeight="true" outlineLevel="0" collapsed="false">
      <c r="A66" s="4" t="s">
        <v>512</v>
      </c>
      <c r="B66" s="4" t="s">
        <v>389</v>
      </c>
      <c r="C66" s="4" t="s">
        <v>390</v>
      </c>
      <c r="D66" s="4" t="s">
        <v>513</v>
      </c>
      <c r="E66" s="4" t="s">
        <v>44</v>
      </c>
      <c r="F66" s="4" t="s">
        <v>392</v>
      </c>
      <c r="G66" s="4" t="s">
        <v>56</v>
      </c>
      <c r="H66" s="4" t="s">
        <v>161</v>
      </c>
      <c r="I66" s="4" t="s">
        <v>118</v>
      </c>
      <c r="J66" s="4" t="s">
        <v>47</v>
      </c>
      <c r="K66" s="4" t="s">
        <v>514</v>
      </c>
      <c r="L66" s="4" t="s">
        <v>101</v>
      </c>
      <c r="M66" s="4" t="s">
        <v>49</v>
      </c>
      <c r="N66" s="4" t="s">
        <v>50</v>
      </c>
      <c r="O66" s="4" t="s">
        <v>515</v>
      </c>
      <c r="P66" s="4" t="s">
        <v>395</v>
      </c>
      <c r="Q66" s="4" t="s">
        <v>51</v>
      </c>
      <c r="R66" s="4" t="s">
        <v>516</v>
      </c>
      <c r="S66" s="16" t="n">
        <f aca="false">IF(ISNUMBER(SEARCH("E0",$H66)),1,0)</f>
        <v>0</v>
      </c>
      <c r="T66" s="16" t="n">
        <f aca="false">IF(ISNUMBER(SEARCH("E1",$H66)),1,0)</f>
        <v>0</v>
      </c>
      <c r="U66" s="16" t="n">
        <f aca="false">IF(ISNUMBER(SEARCH("E2",$H66)),1,0)</f>
        <v>0</v>
      </c>
      <c r="V66" s="16" t="n">
        <f aca="false">IF(ISNUMBER(SEARCH("E3",$H66)),1,0)</f>
        <v>0</v>
      </c>
      <c r="W66" s="16" t="n">
        <f aca="false">IF(ISNUMBER(SEARCH("E4",$H66)),1,0)</f>
        <v>0</v>
      </c>
      <c r="X66" s="16" t="n">
        <f aca="false">IF(ISNUMBER(SEARCH("E5",$H66)),1,0)</f>
        <v>0</v>
      </c>
      <c r="Y66" s="16" t="n">
        <f aca="false">IF(ISNUMBER(SEARCH("E6",$H66)),1,0)</f>
        <v>0</v>
      </c>
      <c r="Z66" s="16" t="n">
        <f aca="false">IF(ISNUMBER(SEARCH("E7",$H66)),1,0)</f>
        <v>0</v>
      </c>
      <c r="AA66" s="16" t="n">
        <f aca="false">IF(ISNUMBER(SEARCH("E8",$H66)),1,0)</f>
        <v>0</v>
      </c>
      <c r="AB66" s="16" t="n">
        <f aca="false">IF(ISNUMBER(SEARCH("E9",$H66)),1,0)</f>
        <v>0</v>
      </c>
      <c r="AC66" s="16" t="n">
        <f aca="false">IF(ISNUMBER(SEARCH("TR",$H66)),1,0)</f>
        <v>1</v>
      </c>
      <c r="AD66" s="10" t="s">
        <v>161</v>
      </c>
      <c r="AE66" s="17" t="n">
        <f aca="false">IF(ISNUMBER(SEARCH("S0",$AD66)),1,0)</f>
        <v>0</v>
      </c>
      <c r="AF66" s="17" t="n">
        <f aca="false">IF(ISNUMBER(SEARCH("R01",$AD66)),1,0)</f>
        <v>0</v>
      </c>
      <c r="AG66" s="17" t="n">
        <f aca="false">IF(ISNUMBER(SEARCH("R02R03",$AD66)),1,0)</f>
        <v>0</v>
      </c>
      <c r="AH66" s="17" t="n">
        <f aca="false">IF(ISNUMBER(SEARCH("R04",$AD66)),1,0)</f>
        <v>0</v>
      </c>
      <c r="AI66" s="17" t="n">
        <f aca="false">IF(ISNUMBER(SEARCH("R05",$AD66)),1,0)</f>
        <v>0</v>
      </c>
      <c r="AJ66" s="17" t="n">
        <f aca="false">IF(ISNUMBER(SEARCH("S3R06",$AD66)),1,0)</f>
        <v>0</v>
      </c>
      <c r="AK66" s="17" t="n">
        <f aca="false">IF(ISNUMBER(SEARCH("R07",$AD66)),1,0)</f>
        <v>0</v>
      </c>
      <c r="AL66" s="17" t="n">
        <f aca="false">IF(ISNUMBER(SEARCH("R09",$AD66)),1,0)</f>
        <v>0</v>
      </c>
      <c r="AM66" s="17" t="n">
        <f aca="false">IF(ISNUMBER(SEARCH("R10",$AD66)),1,0)</f>
        <v>0</v>
      </c>
      <c r="AN66" s="17" t="n">
        <f aca="false">IF(ISNUMBER(SEARCH("S5",$AD66)),1,0)</f>
        <v>0</v>
      </c>
      <c r="AO66" s="17" t="n">
        <f aca="false">IF(ISNUMBER(SEARCH("S6",$AD66)),1,0)</f>
        <v>0</v>
      </c>
      <c r="AP66" s="17" t="n">
        <f aca="false">IF(ISNUMBER(SEARCH("TR",$AD66)),1,0)</f>
        <v>1</v>
      </c>
    </row>
    <row r="67" customFormat="false" ht="34.5" hidden="false" customHeight="true" outlineLevel="0" collapsed="false">
      <c r="A67" s="4" t="s">
        <v>517</v>
      </c>
      <c r="B67" s="4" t="s">
        <v>389</v>
      </c>
      <c r="C67" s="4" t="s">
        <v>390</v>
      </c>
      <c r="D67" s="4" t="s">
        <v>518</v>
      </c>
      <c r="E67" s="4" t="s">
        <v>44</v>
      </c>
      <c r="F67" s="4" t="s">
        <v>392</v>
      </c>
      <c r="G67" s="4" t="s">
        <v>56</v>
      </c>
      <c r="H67" s="4" t="s">
        <v>519</v>
      </c>
      <c r="I67" s="4" t="s">
        <v>77</v>
      </c>
      <c r="J67" s="4" t="s">
        <v>47</v>
      </c>
      <c r="K67" s="4" t="s">
        <v>514</v>
      </c>
      <c r="L67" s="4" t="s">
        <v>59</v>
      </c>
      <c r="M67" s="4" t="s">
        <v>49</v>
      </c>
      <c r="N67" s="4" t="s">
        <v>50</v>
      </c>
      <c r="O67" s="4" t="s">
        <v>520</v>
      </c>
      <c r="P67" s="4" t="s">
        <v>395</v>
      </c>
      <c r="Q67" s="4" t="s">
        <v>51</v>
      </c>
      <c r="R67" s="4" t="s">
        <v>521</v>
      </c>
      <c r="S67" s="16" t="n">
        <f aca="false">IF(ISNUMBER(SEARCH("E0",$H67)),1,0)</f>
        <v>0</v>
      </c>
      <c r="T67" s="16" t="n">
        <f aca="false">IF(ISNUMBER(SEARCH("E1",$H67)),1,0)</f>
        <v>0</v>
      </c>
      <c r="U67" s="16" t="n">
        <f aca="false">IF(ISNUMBER(SEARCH("E2",$H67)),1,0)</f>
        <v>0</v>
      </c>
      <c r="V67" s="16" t="n">
        <f aca="false">IF(ISNUMBER(SEARCH("E3",$H67)),1,0)</f>
        <v>0</v>
      </c>
      <c r="W67" s="16" t="n">
        <f aca="false">IF(ISNUMBER(SEARCH("E4",$H67)),1,0)</f>
        <v>1</v>
      </c>
      <c r="X67" s="16" t="n">
        <f aca="false">IF(ISNUMBER(SEARCH("E5",$H67)),1,0)</f>
        <v>1</v>
      </c>
      <c r="Y67" s="16" t="n">
        <f aca="false">IF(ISNUMBER(SEARCH("E6",$H67)),1,0)</f>
        <v>0</v>
      </c>
      <c r="Z67" s="16" t="n">
        <f aca="false">IF(ISNUMBER(SEARCH("E7",$H67)),1,0)</f>
        <v>0</v>
      </c>
      <c r="AA67" s="16" t="n">
        <f aca="false">IF(ISNUMBER(SEARCH("E8",$H67)),1,0)</f>
        <v>1</v>
      </c>
      <c r="AB67" s="16" t="n">
        <f aca="false">IF(ISNUMBER(SEARCH("E9",$H67)),1,0)</f>
        <v>0</v>
      </c>
      <c r="AC67" s="16" t="n">
        <f aca="false">IF(ISNUMBER(SEARCH("TR",$H67)),1,0)</f>
        <v>0</v>
      </c>
      <c r="AD67" s="10" t="s">
        <v>522</v>
      </c>
      <c r="AE67" s="17" t="n">
        <f aca="false">IF(ISNUMBER(SEARCH("S0",$AD67)),1,0)</f>
        <v>0</v>
      </c>
      <c r="AF67" s="17" t="n">
        <f aca="false">IF(ISNUMBER(SEARCH("R01",$AD67)),1,0)</f>
        <v>0</v>
      </c>
      <c r="AG67" s="17" t="n">
        <f aca="false">IF(ISNUMBER(SEARCH("R02R03",$AD67)),1,0)</f>
        <v>0</v>
      </c>
      <c r="AH67" s="17" t="n">
        <f aca="false">IF(ISNUMBER(SEARCH("R04",$AD67)),1,0)</f>
        <v>0</v>
      </c>
      <c r="AI67" s="17" t="n">
        <f aca="false">IF(ISNUMBER(SEARCH("R05",$AD67)),1,0)</f>
        <v>1</v>
      </c>
      <c r="AJ67" s="17" t="n">
        <f aca="false">IF(ISNUMBER(SEARCH("S3R06",$AD67)),1,0)</f>
        <v>1</v>
      </c>
      <c r="AK67" s="17" t="n">
        <f aca="false">IF(ISNUMBER(SEARCH("R07",$AD67)),1,0)</f>
        <v>0</v>
      </c>
      <c r="AL67" s="17" t="n">
        <f aca="false">IF(ISNUMBER(SEARCH("R09",$AD67)),1,0)</f>
        <v>0</v>
      </c>
      <c r="AM67" s="17" t="n">
        <f aca="false">IF(ISNUMBER(SEARCH("R10",$AD67)),1,0)</f>
        <v>0</v>
      </c>
      <c r="AN67" s="17" t="n">
        <f aca="false">IF(ISNUMBER(SEARCH("S5",$AD67)),1,0)</f>
        <v>1</v>
      </c>
      <c r="AO67" s="17" t="n">
        <f aca="false">IF(ISNUMBER(SEARCH("S6",$AD67)),1,0)</f>
        <v>0</v>
      </c>
      <c r="AP67" s="17" t="n">
        <f aca="false">IF(ISNUMBER(SEARCH("TR",$AD67)),1,0)</f>
        <v>0</v>
      </c>
    </row>
    <row r="68" customFormat="false" ht="57" hidden="false" customHeight="true" outlineLevel="0" collapsed="false">
      <c r="A68" s="4" t="s">
        <v>523</v>
      </c>
      <c r="B68" s="4" t="s">
        <v>389</v>
      </c>
      <c r="C68" s="4" t="s">
        <v>390</v>
      </c>
      <c r="D68" s="4" t="s">
        <v>524</v>
      </c>
      <c r="E68" s="4" t="s">
        <v>44</v>
      </c>
      <c r="F68" s="4" t="s">
        <v>392</v>
      </c>
      <c r="G68" s="4" t="s">
        <v>56</v>
      </c>
      <c r="H68" s="4" t="s">
        <v>525</v>
      </c>
      <c r="I68" s="4" t="s">
        <v>118</v>
      </c>
      <c r="J68" s="4" t="s">
        <v>47</v>
      </c>
      <c r="K68" s="4" t="s">
        <v>514</v>
      </c>
      <c r="L68" s="4" t="s">
        <v>101</v>
      </c>
      <c r="M68" s="4" t="s">
        <v>49</v>
      </c>
      <c r="N68" s="4" t="s">
        <v>50</v>
      </c>
      <c r="O68" s="4" t="s">
        <v>526</v>
      </c>
      <c r="P68" s="4" t="s">
        <v>395</v>
      </c>
      <c r="Q68" s="4" t="s">
        <v>51</v>
      </c>
      <c r="R68" s="4" t="s">
        <v>527</v>
      </c>
      <c r="S68" s="16" t="n">
        <f aca="false">IF(ISNUMBER(SEARCH("E0",$H68)),1,0)</f>
        <v>0</v>
      </c>
      <c r="T68" s="16" t="n">
        <f aca="false">IF(ISNUMBER(SEARCH("E1",$H68)),1,0)</f>
        <v>0</v>
      </c>
      <c r="U68" s="16" t="n">
        <f aca="false">IF(ISNUMBER(SEARCH("E2",$H68)),1,0)</f>
        <v>0</v>
      </c>
      <c r="V68" s="16" t="n">
        <f aca="false">IF(ISNUMBER(SEARCH("E3",$H68)),1,0)</f>
        <v>0</v>
      </c>
      <c r="W68" s="16" t="n">
        <f aca="false">IF(ISNUMBER(SEARCH("E4",$H68)),1,0)</f>
        <v>1</v>
      </c>
      <c r="X68" s="16" t="n">
        <f aca="false">IF(ISNUMBER(SEARCH("E5",$H68)),1,0)</f>
        <v>0</v>
      </c>
      <c r="Y68" s="16" t="n">
        <f aca="false">IF(ISNUMBER(SEARCH("E6",$H68)),1,0)</f>
        <v>0</v>
      </c>
      <c r="Z68" s="16" t="n">
        <f aca="false">IF(ISNUMBER(SEARCH("E7",$H68)),1,0)</f>
        <v>1</v>
      </c>
      <c r="AA68" s="16" t="n">
        <f aca="false">IF(ISNUMBER(SEARCH("E8",$H68)),1,0)</f>
        <v>1</v>
      </c>
      <c r="AB68" s="16" t="n">
        <f aca="false">IF(ISNUMBER(SEARCH("E9",$H68)),1,0)</f>
        <v>1</v>
      </c>
      <c r="AC68" s="16" t="n">
        <f aca="false">IF(ISNUMBER(SEARCH("TR",$H68)),1,0)</f>
        <v>0</v>
      </c>
      <c r="AD68" s="10" t="s">
        <v>528</v>
      </c>
      <c r="AE68" s="17" t="n">
        <f aca="false">IF(ISNUMBER(SEARCH("S0",$AD68)),1,0)</f>
        <v>0</v>
      </c>
      <c r="AF68" s="17" t="n">
        <f aca="false">IF(ISNUMBER(SEARCH("R01",$AD68)),1,0)</f>
        <v>0</v>
      </c>
      <c r="AG68" s="17" t="n">
        <f aca="false">IF(ISNUMBER(SEARCH("R02R03",$AD68)),1,0)</f>
        <v>0</v>
      </c>
      <c r="AH68" s="17" t="n">
        <f aca="false">IF(ISNUMBER(SEARCH("R04",$AD68)),1,0)</f>
        <v>0</v>
      </c>
      <c r="AI68" s="17" t="n">
        <f aca="false">IF(ISNUMBER(SEARCH("R05",$AD68)),1,0)</f>
        <v>1</v>
      </c>
      <c r="AJ68" s="17" t="n">
        <f aca="false">IF(ISNUMBER(SEARCH("S3R06",$AD68)),1,0)</f>
        <v>0</v>
      </c>
      <c r="AK68" s="17" t="n">
        <f aca="false">IF(ISNUMBER(SEARCH("R07",$AD68)),1,0)</f>
        <v>0</v>
      </c>
      <c r="AL68" s="17" t="n">
        <f aca="false">IF(ISNUMBER(SEARCH("R09",$AD68)),1,0)</f>
        <v>0</v>
      </c>
      <c r="AM68" s="17" t="n">
        <f aca="false">IF(ISNUMBER(SEARCH("R10",$AD68)),1,0)</f>
        <v>1</v>
      </c>
      <c r="AN68" s="17" t="n">
        <f aca="false">IF(ISNUMBER(SEARCH("S5",$AD68)),1,0)</f>
        <v>1</v>
      </c>
      <c r="AO68" s="17" t="n">
        <f aca="false">IF(ISNUMBER(SEARCH("S6",$AD68)),1,0)</f>
        <v>1</v>
      </c>
      <c r="AP68" s="17" t="n">
        <f aca="false">IF(ISNUMBER(SEARCH("TR",$AD68)),1,0)</f>
        <v>0</v>
      </c>
    </row>
    <row r="69" customFormat="false" ht="113.25" hidden="false" customHeight="true" outlineLevel="0" collapsed="false">
      <c r="A69" s="4" t="s">
        <v>529</v>
      </c>
      <c r="B69" s="4" t="s">
        <v>530</v>
      </c>
      <c r="C69" s="4" t="s">
        <v>531</v>
      </c>
      <c r="D69" s="4" t="s">
        <v>532</v>
      </c>
      <c r="E69" s="4" t="s">
        <v>83</v>
      </c>
      <c r="F69" s="4" t="s">
        <v>533</v>
      </c>
      <c r="G69" s="4" t="s">
        <v>45</v>
      </c>
      <c r="H69" s="4" t="s">
        <v>161</v>
      </c>
      <c r="I69" s="4" t="s">
        <v>85</v>
      </c>
      <c r="J69" s="4" t="s">
        <v>47</v>
      </c>
      <c r="K69" s="4" t="s">
        <v>198</v>
      </c>
      <c r="L69" s="4" t="s">
        <v>95</v>
      </c>
      <c r="M69" s="4" t="s">
        <v>49</v>
      </c>
      <c r="N69" s="4" t="s">
        <v>61</v>
      </c>
      <c r="O69" s="4" t="s">
        <v>534</v>
      </c>
      <c r="P69" s="4" t="s">
        <v>535</v>
      </c>
      <c r="Q69" s="4" t="s">
        <v>51</v>
      </c>
      <c r="R69" s="4" t="s">
        <v>536</v>
      </c>
      <c r="S69" s="16" t="n">
        <f aca="false">IF(ISNUMBER(SEARCH("E0",$H69)),1,0)</f>
        <v>0</v>
      </c>
      <c r="T69" s="16" t="n">
        <f aca="false">IF(ISNUMBER(SEARCH("E1",$H69)),1,0)</f>
        <v>0</v>
      </c>
      <c r="U69" s="16" t="n">
        <f aca="false">IF(ISNUMBER(SEARCH("E2",$H69)),1,0)</f>
        <v>0</v>
      </c>
      <c r="V69" s="16" t="n">
        <f aca="false">IF(ISNUMBER(SEARCH("E3",$H69)),1,0)</f>
        <v>0</v>
      </c>
      <c r="W69" s="16" t="n">
        <f aca="false">IF(ISNUMBER(SEARCH("E4",$H69)),1,0)</f>
        <v>0</v>
      </c>
      <c r="X69" s="16" t="n">
        <f aca="false">IF(ISNUMBER(SEARCH("E5",$H69)),1,0)</f>
        <v>0</v>
      </c>
      <c r="Y69" s="16" t="n">
        <f aca="false">IF(ISNUMBER(SEARCH("E6",$H69)),1,0)</f>
        <v>0</v>
      </c>
      <c r="Z69" s="16" t="n">
        <f aca="false">IF(ISNUMBER(SEARCH("E7",$H69)),1,0)</f>
        <v>0</v>
      </c>
      <c r="AA69" s="16" t="n">
        <f aca="false">IF(ISNUMBER(SEARCH("E8",$H69)),1,0)</f>
        <v>0</v>
      </c>
      <c r="AB69" s="16" t="n">
        <f aca="false">IF(ISNUMBER(SEARCH("E9",$H69)),1,0)</f>
        <v>0</v>
      </c>
      <c r="AC69" s="16" t="n">
        <f aca="false">IF(ISNUMBER(SEARCH("TR",$H69)),1,0)</f>
        <v>1</v>
      </c>
      <c r="AD69" s="10" t="s">
        <v>161</v>
      </c>
      <c r="AE69" s="17" t="n">
        <f aca="false">IF(ISNUMBER(SEARCH("S0",$AD69)),1,0)</f>
        <v>0</v>
      </c>
      <c r="AF69" s="17" t="n">
        <f aca="false">IF(ISNUMBER(SEARCH("R01",$AD69)),1,0)</f>
        <v>0</v>
      </c>
      <c r="AG69" s="17" t="n">
        <f aca="false">IF(ISNUMBER(SEARCH("R02R03",$AD69)),1,0)</f>
        <v>0</v>
      </c>
      <c r="AH69" s="17" t="n">
        <f aca="false">IF(ISNUMBER(SEARCH("R04",$AD69)),1,0)</f>
        <v>0</v>
      </c>
      <c r="AI69" s="17" t="n">
        <f aca="false">IF(ISNUMBER(SEARCH("R05",$AD69)),1,0)</f>
        <v>0</v>
      </c>
      <c r="AJ69" s="17" t="n">
        <f aca="false">IF(ISNUMBER(SEARCH("S3R06",$AD69)),1,0)</f>
        <v>0</v>
      </c>
      <c r="AK69" s="17" t="n">
        <f aca="false">IF(ISNUMBER(SEARCH("R07",$AD69)),1,0)</f>
        <v>0</v>
      </c>
      <c r="AL69" s="17" t="n">
        <f aca="false">IF(ISNUMBER(SEARCH("R09",$AD69)),1,0)</f>
        <v>0</v>
      </c>
      <c r="AM69" s="17" t="n">
        <f aca="false">IF(ISNUMBER(SEARCH("R10",$AD69)),1,0)</f>
        <v>0</v>
      </c>
      <c r="AN69" s="17" t="n">
        <f aca="false">IF(ISNUMBER(SEARCH("S5",$AD69)),1,0)</f>
        <v>0</v>
      </c>
      <c r="AO69" s="17" t="n">
        <f aca="false">IF(ISNUMBER(SEARCH("S6",$AD69)),1,0)</f>
        <v>0</v>
      </c>
      <c r="AP69" s="17" t="n">
        <f aca="false">IF(ISNUMBER(SEARCH("TR",$AD69)),1,0)</f>
        <v>1</v>
      </c>
    </row>
    <row r="70" customFormat="false" ht="113.25" hidden="false" customHeight="true" outlineLevel="0" collapsed="false">
      <c r="A70" s="4" t="s">
        <v>537</v>
      </c>
      <c r="B70" s="4" t="s">
        <v>530</v>
      </c>
      <c r="C70" s="4" t="s">
        <v>531</v>
      </c>
      <c r="D70" s="4" t="s">
        <v>538</v>
      </c>
      <c r="E70" s="4" t="s">
        <v>83</v>
      </c>
      <c r="F70" s="4" t="s">
        <v>533</v>
      </c>
      <c r="G70" s="4" t="s">
        <v>98</v>
      </c>
      <c r="H70" s="4" t="s">
        <v>161</v>
      </c>
      <c r="I70" s="4" t="s">
        <v>106</v>
      </c>
      <c r="J70" s="4" t="s">
        <v>94</v>
      </c>
      <c r="K70" s="4" t="s">
        <v>198</v>
      </c>
      <c r="L70" s="4" t="s">
        <v>95</v>
      </c>
      <c r="M70" s="4" t="s">
        <v>49</v>
      </c>
      <c r="N70" s="4" t="s">
        <v>61</v>
      </c>
      <c r="O70" s="4" t="s">
        <v>539</v>
      </c>
      <c r="P70" s="4" t="s">
        <v>535</v>
      </c>
      <c r="Q70" s="4" t="s">
        <v>51</v>
      </c>
      <c r="R70" s="4" t="s">
        <v>540</v>
      </c>
      <c r="S70" s="16" t="n">
        <f aca="false">IF(ISNUMBER(SEARCH("E0",$H70)),1,0)</f>
        <v>0</v>
      </c>
      <c r="T70" s="16" t="n">
        <f aca="false">IF(ISNUMBER(SEARCH("E1",$H70)),1,0)</f>
        <v>0</v>
      </c>
      <c r="U70" s="16" t="n">
        <f aca="false">IF(ISNUMBER(SEARCH("E2",$H70)),1,0)</f>
        <v>0</v>
      </c>
      <c r="V70" s="16" t="n">
        <f aca="false">IF(ISNUMBER(SEARCH("E3",$H70)),1,0)</f>
        <v>0</v>
      </c>
      <c r="W70" s="16" t="n">
        <f aca="false">IF(ISNUMBER(SEARCH("E4",$H70)),1,0)</f>
        <v>0</v>
      </c>
      <c r="X70" s="16" t="n">
        <f aca="false">IF(ISNUMBER(SEARCH("E5",$H70)),1,0)</f>
        <v>0</v>
      </c>
      <c r="Y70" s="16" t="n">
        <f aca="false">IF(ISNUMBER(SEARCH("E6",$H70)),1,0)</f>
        <v>0</v>
      </c>
      <c r="Z70" s="16" t="n">
        <f aca="false">IF(ISNUMBER(SEARCH("E7",$H70)),1,0)</f>
        <v>0</v>
      </c>
      <c r="AA70" s="16" t="n">
        <f aca="false">IF(ISNUMBER(SEARCH("E8",$H70)),1,0)</f>
        <v>0</v>
      </c>
      <c r="AB70" s="16" t="n">
        <f aca="false">IF(ISNUMBER(SEARCH("E9",$H70)),1,0)</f>
        <v>0</v>
      </c>
      <c r="AC70" s="16" t="n">
        <f aca="false">IF(ISNUMBER(SEARCH("TR",$H70)),1,0)</f>
        <v>1</v>
      </c>
      <c r="AD70" s="10" t="s">
        <v>161</v>
      </c>
      <c r="AE70" s="17" t="n">
        <f aca="false">IF(ISNUMBER(SEARCH("S0",$AD70)),1,0)</f>
        <v>0</v>
      </c>
      <c r="AF70" s="17" t="n">
        <f aca="false">IF(ISNUMBER(SEARCH("R01",$AD70)),1,0)</f>
        <v>0</v>
      </c>
      <c r="AG70" s="17" t="n">
        <f aca="false">IF(ISNUMBER(SEARCH("R02R03",$AD70)),1,0)</f>
        <v>0</v>
      </c>
      <c r="AH70" s="17" t="n">
        <f aca="false">IF(ISNUMBER(SEARCH("R04",$AD70)),1,0)</f>
        <v>0</v>
      </c>
      <c r="AI70" s="17" t="n">
        <f aca="false">IF(ISNUMBER(SEARCH("R05",$AD70)),1,0)</f>
        <v>0</v>
      </c>
      <c r="AJ70" s="17" t="n">
        <f aca="false">IF(ISNUMBER(SEARCH("S3R06",$AD70)),1,0)</f>
        <v>0</v>
      </c>
      <c r="AK70" s="17" t="n">
        <f aca="false">IF(ISNUMBER(SEARCH("R07",$AD70)),1,0)</f>
        <v>0</v>
      </c>
      <c r="AL70" s="17" t="n">
        <f aca="false">IF(ISNUMBER(SEARCH("R09",$AD70)),1,0)</f>
        <v>0</v>
      </c>
      <c r="AM70" s="17" t="n">
        <f aca="false">IF(ISNUMBER(SEARCH("R10",$AD70)),1,0)</f>
        <v>0</v>
      </c>
      <c r="AN70" s="17" t="n">
        <f aca="false">IF(ISNUMBER(SEARCH("S5",$AD70)),1,0)</f>
        <v>0</v>
      </c>
      <c r="AO70" s="17" t="n">
        <f aca="false">IF(ISNUMBER(SEARCH("S6",$AD70)),1,0)</f>
        <v>0</v>
      </c>
      <c r="AP70" s="17" t="n">
        <f aca="false">IF(ISNUMBER(SEARCH("TR",$AD70)),1,0)</f>
        <v>1</v>
      </c>
    </row>
    <row r="71" customFormat="false" ht="113.25" hidden="false" customHeight="true" outlineLevel="0" collapsed="false">
      <c r="A71" s="4" t="s">
        <v>541</v>
      </c>
      <c r="B71" s="4" t="s">
        <v>530</v>
      </c>
      <c r="C71" s="4" t="s">
        <v>531</v>
      </c>
      <c r="D71" s="4" t="s">
        <v>542</v>
      </c>
      <c r="E71" s="4" t="s">
        <v>83</v>
      </c>
      <c r="F71" s="4" t="s">
        <v>533</v>
      </c>
      <c r="G71" s="4" t="s">
        <v>110</v>
      </c>
      <c r="H71" s="4" t="s">
        <v>444</v>
      </c>
      <c r="I71" s="4" t="s">
        <v>68</v>
      </c>
      <c r="J71" s="4" t="s">
        <v>47</v>
      </c>
      <c r="K71" s="4" t="s">
        <v>198</v>
      </c>
      <c r="L71" s="4" t="s">
        <v>95</v>
      </c>
      <c r="M71" s="4" t="s">
        <v>49</v>
      </c>
      <c r="N71" s="4" t="s">
        <v>61</v>
      </c>
      <c r="O71" s="4" t="s">
        <v>543</v>
      </c>
      <c r="P71" s="4" t="s">
        <v>535</v>
      </c>
      <c r="Q71" s="4" t="s">
        <v>51</v>
      </c>
      <c r="R71" s="4" t="s">
        <v>540</v>
      </c>
      <c r="S71" s="16" t="n">
        <f aca="false">IF(ISNUMBER(SEARCH("E0",$H71)),1,0)</f>
        <v>0</v>
      </c>
      <c r="T71" s="16" t="n">
        <f aca="false">IF(ISNUMBER(SEARCH("E1",$H71)),1,0)</f>
        <v>0</v>
      </c>
      <c r="U71" s="16" t="n">
        <f aca="false">IF(ISNUMBER(SEARCH("E2",$H71)),1,0)</f>
        <v>0</v>
      </c>
      <c r="V71" s="16" t="n">
        <f aca="false">IF(ISNUMBER(SEARCH("E3",$H71)),1,0)</f>
        <v>0</v>
      </c>
      <c r="W71" s="16" t="n">
        <f aca="false">IF(ISNUMBER(SEARCH("E4",$H71)),1,0)</f>
        <v>0</v>
      </c>
      <c r="X71" s="16" t="n">
        <f aca="false">IF(ISNUMBER(SEARCH("E5",$H71)),1,0)</f>
        <v>1</v>
      </c>
      <c r="Y71" s="16" t="n">
        <f aca="false">IF(ISNUMBER(SEARCH("E6",$H71)),1,0)</f>
        <v>0</v>
      </c>
      <c r="Z71" s="16" t="n">
        <f aca="false">IF(ISNUMBER(SEARCH("E7",$H71)),1,0)</f>
        <v>0</v>
      </c>
      <c r="AA71" s="16" t="n">
        <f aca="false">IF(ISNUMBER(SEARCH("E8",$H71)),1,0)</f>
        <v>0</v>
      </c>
      <c r="AB71" s="16" t="n">
        <f aca="false">IF(ISNUMBER(SEARCH("E9",$H71)),1,0)</f>
        <v>1</v>
      </c>
      <c r="AC71" s="16" t="n">
        <f aca="false">IF(ISNUMBER(SEARCH("TR",$H71)),1,0)</f>
        <v>0</v>
      </c>
      <c r="AD71" s="10" t="s">
        <v>448</v>
      </c>
      <c r="AE71" s="17" t="n">
        <f aca="false">IF(ISNUMBER(SEARCH("S0",$AD71)),1,0)</f>
        <v>0</v>
      </c>
      <c r="AF71" s="17" t="n">
        <f aca="false">IF(ISNUMBER(SEARCH("R01",$AD71)),1,0)</f>
        <v>0</v>
      </c>
      <c r="AG71" s="17" t="n">
        <f aca="false">IF(ISNUMBER(SEARCH("R02R03",$AD71)),1,0)</f>
        <v>0</v>
      </c>
      <c r="AH71" s="17" t="n">
        <f aca="false">IF(ISNUMBER(SEARCH("R04",$AD71)),1,0)</f>
        <v>0</v>
      </c>
      <c r="AI71" s="17" t="n">
        <f aca="false">IF(ISNUMBER(SEARCH("R05",$AD71)),1,0)</f>
        <v>0</v>
      </c>
      <c r="AJ71" s="17" t="n">
        <f aca="false">IF(ISNUMBER(SEARCH("S3R06",$AD71)),1,0)</f>
        <v>1</v>
      </c>
      <c r="AK71" s="17" t="n">
        <f aca="false">IF(ISNUMBER(SEARCH("R07",$AD71)),1,0)</f>
        <v>0</v>
      </c>
      <c r="AL71" s="17" t="n">
        <f aca="false">IF(ISNUMBER(SEARCH("R09",$AD71)),1,0)</f>
        <v>0</v>
      </c>
      <c r="AM71" s="17" t="n">
        <f aca="false">IF(ISNUMBER(SEARCH("R10",$AD71)),1,0)</f>
        <v>0</v>
      </c>
      <c r="AN71" s="17" t="n">
        <f aca="false">IF(ISNUMBER(SEARCH("S5",$AD71)),1,0)</f>
        <v>0</v>
      </c>
      <c r="AO71" s="17" t="n">
        <f aca="false">IF(ISNUMBER(SEARCH("S6",$AD71)),1,0)</f>
        <v>1</v>
      </c>
      <c r="AP71" s="17" t="n">
        <f aca="false">IF(ISNUMBER(SEARCH("TR",$AD71)),1,0)</f>
        <v>0</v>
      </c>
    </row>
    <row r="72" customFormat="false" ht="113.25" hidden="false" customHeight="true" outlineLevel="0" collapsed="false">
      <c r="A72" s="4" t="s">
        <v>544</v>
      </c>
      <c r="B72" s="4" t="s">
        <v>530</v>
      </c>
      <c r="C72" s="4" t="s">
        <v>531</v>
      </c>
      <c r="D72" s="4" t="s">
        <v>545</v>
      </c>
      <c r="E72" s="4" t="s">
        <v>83</v>
      </c>
      <c r="F72" s="4" t="s">
        <v>533</v>
      </c>
      <c r="G72" s="4" t="s">
        <v>45</v>
      </c>
      <c r="H72" s="4" t="s">
        <v>161</v>
      </c>
      <c r="I72" s="4" t="s">
        <v>99</v>
      </c>
      <c r="J72" s="4" t="s">
        <v>47</v>
      </c>
      <c r="K72" s="4" t="s">
        <v>198</v>
      </c>
      <c r="L72" s="4" t="s">
        <v>59</v>
      </c>
      <c r="M72" s="4" t="s">
        <v>49</v>
      </c>
      <c r="N72" s="4" t="s">
        <v>72</v>
      </c>
      <c r="O72" s="4" t="s">
        <v>546</v>
      </c>
      <c r="P72" s="4" t="s">
        <v>535</v>
      </c>
      <c r="Q72" s="4" t="s">
        <v>51</v>
      </c>
      <c r="R72" s="4" t="s">
        <v>547</v>
      </c>
      <c r="S72" s="16" t="n">
        <f aca="false">IF(ISNUMBER(SEARCH("E0",$H72)),1,0)</f>
        <v>0</v>
      </c>
      <c r="T72" s="16" t="n">
        <f aca="false">IF(ISNUMBER(SEARCH("E1",$H72)),1,0)</f>
        <v>0</v>
      </c>
      <c r="U72" s="16" t="n">
        <f aca="false">IF(ISNUMBER(SEARCH("E2",$H72)),1,0)</f>
        <v>0</v>
      </c>
      <c r="V72" s="16" t="n">
        <f aca="false">IF(ISNUMBER(SEARCH("E3",$H72)),1,0)</f>
        <v>0</v>
      </c>
      <c r="W72" s="16" t="n">
        <f aca="false">IF(ISNUMBER(SEARCH("E4",$H72)),1,0)</f>
        <v>0</v>
      </c>
      <c r="X72" s="16" t="n">
        <f aca="false">IF(ISNUMBER(SEARCH("E5",$H72)),1,0)</f>
        <v>0</v>
      </c>
      <c r="Y72" s="16" t="n">
        <f aca="false">IF(ISNUMBER(SEARCH("E6",$H72)),1,0)</f>
        <v>0</v>
      </c>
      <c r="Z72" s="16" t="n">
        <f aca="false">IF(ISNUMBER(SEARCH("E7",$H72)),1,0)</f>
        <v>0</v>
      </c>
      <c r="AA72" s="16" t="n">
        <f aca="false">IF(ISNUMBER(SEARCH("E8",$H72)),1,0)</f>
        <v>0</v>
      </c>
      <c r="AB72" s="16" t="n">
        <f aca="false">IF(ISNUMBER(SEARCH("E9",$H72)),1,0)</f>
        <v>0</v>
      </c>
      <c r="AC72" s="16" t="n">
        <f aca="false">IF(ISNUMBER(SEARCH("TR",$H72)),1,0)</f>
        <v>1</v>
      </c>
      <c r="AD72" s="10" t="s">
        <v>161</v>
      </c>
      <c r="AE72" s="17" t="n">
        <f aca="false">IF(ISNUMBER(SEARCH("S0",$AD72)),1,0)</f>
        <v>0</v>
      </c>
      <c r="AF72" s="17" t="n">
        <f aca="false">IF(ISNUMBER(SEARCH("R01",$AD72)),1,0)</f>
        <v>0</v>
      </c>
      <c r="AG72" s="17" t="n">
        <f aca="false">IF(ISNUMBER(SEARCH("R02R03",$AD72)),1,0)</f>
        <v>0</v>
      </c>
      <c r="AH72" s="17" t="n">
        <f aca="false">IF(ISNUMBER(SEARCH("R04",$AD72)),1,0)</f>
        <v>0</v>
      </c>
      <c r="AI72" s="17" t="n">
        <f aca="false">IF(ISNUMBER(SEARCH("R05",$AD72)),1,0)</f>
        <v>0</v>
      </c>
      <c r="AJ72" s="17" t="n">
        <f aca="false">IF(ISNUMBER(SEARCH("S3R06",$AD72)),1,0)</f>
        <v>0</v>
      </c>
      <c r="AK72" s="17" t="n">
        <f aca="false">IF(ISNUMBER(SEARCH("R07",$AD72)),1,0)</f>
        <v>0</v>
      </c>
      <c r="AL72" s="17" t="n">
        <f aca="false">IF(ISNUMBER(SEARCH("R09",$AD72)),1,0)</f>
        <v>0</v>
      </c>
      <c r="AM72" s="17" t="n">
        <f aca="false">IF(ISNUMBER(SEARCH("R10",$AD72)),1,0)</f>
        <v>0</v>
      </c>
      <c r="AN72" s="17" t="n">
        <f aca="false">IF(ISNUMBER(SEARCH("S5",$AD72)),1,0)</f>
        <v>0</v>
      </c>
      <c r="AO72" s="17" t="n">
        <f aca="false">IF(ISNUMBER(SEARCH("S6",$AD72)),1,0)</f>
        <v>0</v>
      </c>
      <c r="AP72" s="17" t="n">
        <f aca="false">IF(ISNUMBER(SEARCH("TR",$AD72)),1,0)</f>
        <v>1</v>
      </c>
    </row>
    <row r="73" customFormat="false" ht="113.25" hidden="false" customHeight="true" outlineLevel="0" collapsed="false">
      <c r="A73" s="4" t="s">
        <v>548</v>
      </c>
      <c r="B73" s="4" t="s">
        <v>530</v>
      </c>
      <c r="C73" s="4" t="s">
        <v>531</v>
      </c>
      <c r="D73" s="4" t="s">
        <v>549</v>
      </c>
      <c r="E73" s="4" t="s">
        <v>83</v>
      </c>
      <c r="F73" s="4" t="s">
        <v>533</v>
      </c>
      <c r="G73" s="4" t="s">
        <v>92</v>
      </c>
      <c r="H73" s="4" t="s">
        <v>161</v>
      </c>
      <c r="I73" s="4" t="s">
        <v>85</v>
      </c>
      <c r="J73" s="4" t="s">
        <v>58</v>
      </c>
      <c r="K73" s="4" t="s">
        <v>198</v>
      </c>
      <c r="L73" s="4" t="s">
        <v>95</v>
      </c>
      <c r="M73" s="4" t="s">
        <v>49</v>
      </c>
      <c r="N73" s="4" t="s">
        <v>72</v>
      </c>
      <c r="O73" s="4" t="s">
        <v>550</v>
      </c>
      <c r="P73" s="4" t="s">
        <v>535</v>
      </c>
      <c r="Q73" s="4" t="s">
        <v>51</v>
      </c>
      <c r="R73" s="4" t="s">
        <v>551</v>
      </c>
      <c r="S73" s="16" t="n">
        <f aca="false">IF(ISNUMBER(SEARCH("E0",$H73)),1,0)</f>
        <v>0</v>
      </c>
      <c r="T73" s="16" t="n">
        <f aca="false">IF(ISNUMBER(SEARCH("E1",$H73)),1,0)</f>
        <v>0</v>
      </c>
      <c r="U73" s="16" t="n">
        <f aca="false">IF(ISNUMBER(SEARCH("E2",$H73)),1,0)</f>
        <v>0</v>
      </c>
      <c r="V73" s="16" t="n">
        <f aca="false">IF(ISNUMBER(SEARCH("E3",$H73)),1,0)</f>
        <v>0</v>
      </c>
      <c r="W73" s="16" t="n">
        <f aca="false">IF(ISNUMBER(SEARCH("E4",$H73)),1,0)</f>
        <v>0</v>
      </c>
      <c r="X73" s="16" t="n">
        <f aca="false">IF(ISNUMBER(SEARCH("E5",$H73)),1,0)</f>
        <v>0</v>
      </c>
      <c r="Y73" s="16" t="n">
        <f aca="false">IF(ISNUMBER(SEARCH("E6",$H73)),1,0)</f>
        <v>0</v>
      </c>
      <c r="Z73" s="16" t="n">
        <f aca="false">IF(ISNUMBER(SEARCH("E7",$H73)),1,0)</f>
        <v>0</v>
      </c>
      <c r="AA73" s="16" t="n">
        <f aca="false">IF(ISNUMBER(SEARCH("E8",$H73)),1,0)</f>
        <v>0</v>
      </c>
      <c r="AB73" s="16" t="n">
        <f aca="false">IF(ISNUMBER(SEARCH("E9",$H73)),1,0)</f>
        <v>0</v>
      </c>
      <c r="AC73" s="16" t="n">
        <f aca="false">IF(ISNUMBER(SEARCH("TR",$H73)),1,0)</f>
        <v>1</v>
      </c>
      <c r="AD73" s="10" t="s">
        <v>161</v>
      </c>
      <c r="AE73" s="17" t="n">
        <f aca="false">IF(ISNUMBER(SEARCH("S0",$AD73)),1,0)</f>
        <v>0</v>
      </c>
      <c r="AF73" s="17" t="n">
        <f aca="false">IF(ISNUMBER(SEARCH("R01",$AD73)),1,0)</f>
        <v>0</v>
      </c>
      <c r="AG73" s="17" t="n">
        <f aca="false">IF(ISNUMBER(SEARCH("R02R03",$AD73)),1,0)</f>
        <v>0</v>
      </c>
      <c r="AH73" s="17" t="n">
        <f aca="false">IF(ISNUMBER(SEARCH("R04",$AD73)),1,0)</f>
        <v>0</v>
      </c>
      <c r="AI73" s="17" t="n">
        <f aca="false">IF(ISNUMBER(SEARCH("R05",$AD73)),1,0)</f>
        <v>0</v>
      </c>
      <c r="AJ73" s="17" t="n">
        <f aca="false">IF(ISNUMBER(SEARCH("S3R06",$AD73)),1,0)</f>
        <v>0</v>
      </c>
      <c r="AK73" s="17" t="n">
        <f aca="false">IF(ISNUMBER(SEARCH("R07",$AD73)),1,0)</f>
        <v>0</v>
      </c>
      <c r="AL73" s="17" t="n">
        <f aca="false">IF(ISNUMBER(SEARCH("R09",$AD73)),1,0)</f>
        <v>0</v>
      </c>
      <c r="AM73" s="17" t="n">
        <f aca="false">IF(ISNUMBER(SEARCH("R10",$AD73)),1,0)</f>
        <v>0</v>
      </c>
      <c r="AN73" s="17" t="n">
        <f aca="false">IF(ISNUMBER(SEARCH("S5",$AD73)),1,0)</f>
        <v>0</v>
      </c>
      <c r="AO73" s="17" t="n">
        <f aca="false">IF(ISNUMBER(SEARCH("S6",$AD73)),1,0)</f>
        <v>0</v>
      </c>
      <c r="AP73" s="17" t="n">
        <f aca="false">IF(ISNUMBER(SEARCH("TR",$AD73)),1,0)</f>
        <v>1</v>
      </c>
    </row>
    <row r="74" customFormat="false" ht="113.25" hidden="false" customHeight="true" outlineLevel="0" collapsed="false">
      <c r="A74" s="4" t="s">
        <v>552</v>
      </c>
      <c r="B74" s="4" t="s">
        <v>530</v>
      </c>
      <c r="C74" s="4" t="s">
        <v>531</v>
      </c>
      <c r="D74" s="4" t="s">
        <v>553</v>
      </c>
      <c r="E74" s="4" t="s">
        <v>83</v>
      </c>
      <c r="F74" s="4" t="s">
        <v>533</v>
      </c>
      <c r="G74" s="4" t="s">
        <v>92</v>
      </c>
      <c r="H74" s="4" t="s">
        <v>161</v>
      </c>
      <c r="I74" s="4" t="s">
        <v>85</v>
      </c>
      <c r="J74" s="4" t="s">
        <v>58</v>
      </c>
      <c r="K74" s="4" t="s">
        <v>198</v>
      </c>
      <c r="L74" s="4" t="s">
        <v>95</v>
      </c>
      <c r="M74" s="4" t="s">
        <v>49</v>
      </c>
      <c r="N74" s="4" t="s">
        <v>61</v>
      </c>
      <c r="O74" s="4" t="s">
        <v>554</v>
      </c>
      <c r="P74" s="4" t="s">
        <v>535</v>
      </c>
      <c r="Q74" s="4" t="s">
        <v>51</v>
      </c>
      <c r="R74" s="4" t="s">
        <v>555</v>
      </c>
      <c r="S74" s="16" t="n">
        <f aca="false">IF(ISNUMBER(SEARCH("E0",$H74)),1,0)</f>
        <v>0</v>
      </c>
      <c r="T74" s="16" t="n">
        <f aca="false">IF(ISNUMBER(SEARCH("E1",$H74)),1,0)</f>
        <v>0</v>
      </c>
      <c r="U74" s="16" t="n">
        <f aca="false">IF(ISNUMBER(SEARCH("E2",$H74)),1,0)</f>
        <v>0</v>
      </c>
      <c r="V74" s="16" t="n">
        <f aca="false">IF(ISNUMBER(SEARCH("E3",$H74)),1,0)</f>
        <v>0</v>
      </c>
      <c r="W74" s="16" t="n">
        <f aca="false">IF(ISNUMBER(SEARCH("E4",$H74)),1,0)</f>
        <v>0</v>
      </c>
      <c r="X74" s="16" t="n">
        <f aca="false">IF(ISNUMBER(SEARCH("E5",$H74)),1,0)</f>
        <v>0</v>
      </c>
      <c r="Y74" s="16" t="n">
        <f aca="false">IF(ISNUMBER(SEARCH("E6",$H74)),1,0)</f>
        <v>0</v>
      </c>
      <c r="Z74" s="16" t="n">
        <f aca="false">IF(ISNUMBER(SEARCH("E7",$H74)),1,0)</f>
        <v>0</v>
      </c>
      <c r="AA74" s="16" t="n">
        <f aca="false">IF(ISNUMBER(SEARCH("E8",$H74)),1,0)</f>
        <v>0</v>
      </c>
      <c r="AB74" s="16" t="n">
        <f aca="false">IF(ISNUMBER(SEARCH("E9",$H74)),1,0)</f>
        <v>0</v>
      </c>
      <c r="AC74" s="16" t="n">
        <f aca="false">IF(ISNUMBER(SEARCH("TR",$H74)),1,0)</f>
        <v>1</v>
      </c>
      <c r="AD74" s="10" t="s">
        <v>161</v>
      </c>
      <c r="AE74" s="17" t="n">
        <f aca="false">IF(ISNUMBER(SEARCH("S0",$AD74)),1,0)</f>
        <v>0</v>
      </c>
      <c r="AF74" s="17" t="n">
        <f aca="false">IF(ISNUMBER(SEARCH("R01",$AD74)),1,0)</f>
        <v>0</v>
      </c>
      <c r="AG74" s="17" t="n">
        <f aca="false">IF(ISNUMBER(SEARCH("R02R03",$AD74)),1,0)</f>
        <v>0</v>
      </c>
      <c r="AH74" s="17" t="n">
        <f aca="false">IF(ISNUMBER(SEARCH("R04",$AD74)),1,0)</f>
        <v>0</v>
      </c>
      <c r="AI74" s="17" t="n">
        <f aca="false">IF(ISNUMBER(SEARCH("R05",$AD74)),1,0)</f>
        <v>0</v>
      </c>
      <c r="AJ74" s="17" t="n">
        <f aca="false">IF(ISNUMBER(SEARCH("S3R06",$AD74)),1,0)</f>
        <v>0</v>
      </c>
      <c r="AK74" s="17" t="n">
        <f aca="false">IF(ISNUMBER(SEARCH("R07",$AD74)),1,0)</f>
        <v>0</v>
      </c>
      <c r="AL74" s="17" t="n">
        <f aca="false">IF(ISNUMBER(SEARCH("R09",$AD74)),1,0)</f>
        <v>0</v>
      </c>
      <c r="AM74" s="17" t="n">
        <f aca="false">IF(ISNUMBER(SEARCH("R10",$AD74)),1,0)</f>
        <v>0</v>
      </c>
      <c r="AN74" s="17" t="n">
        <f aca="false">IF(ISNUMBER(SEARCH("S5",$AD74)),1,0)</f>
        <v>0</v>
      </c>
      <c r="AO74" s="17" t="n">
        <f aca="false">IF(ISNUMBER(SEARCH("S6",$AD74)),1,0)</f>
        <v>0</v>
      </c>
      <c r="AP74" s="17" t="n">
        <f aca="false">IF(ISNUMBER(SEARCH("TR",$AD74)),1,0)</f>
        <v>1</v>
      </c>
    </row>
    <row r="75" customFormat="false" ht="113.25" hidden="false" customHeight="true" outlineLevel="0" collapsed="false">
      <c r="A75" s="4" t="s">
        <v>556</v>
      </c>
      <c r="B75" s="4" t="s">
        <v>530</v>
      </c>
      <c r="C75" s="4" t="s">
        <v>531</v>
      </c>
      <c r="D75" s="4" t="s">
        <v>557</v>
      </c>
      <c r="E75" s="4" t="s">
        <v>83</v>
      </c>
      <c r="F75" s="4" t="s">
        <v>533</v>
      </c>
      <c r="G75" s="4" t="s">
        <v>92</v>
      </c>
      <c r="H75" s="4" t="s">
        <v>558</v>
      </c>
      <c r="I75" s="4" t="s">
        <v>111</v>
      </c>
      <c r="J75" s="4" t="s">
        <v>47</v>
      </c>
      <c r="K75" s="4" t="s">
        <v>198</v>
      </c>
      <c r="L75" s="4" t="s">
        <v>95</v>
      </c>
      <c r="M75" s="4" t="s">
        <v>49</v>
      </c>
      <c r="N75" s="4" t="s">
        <v>72</v>
      </c>
      <c r="O75" s="4" t="s">
        <v>559</v>
      </c>
      <c r="P75" s="4" t="s">
        <v>535</v>
      </c>
      <c r="Q75" s="4" t="s">
        <v>51</v>
      </c>
      <c r="R75" s="4" t="s">
        <v>560</v>
      </c>
      <c r="S75" s="16" t="n">
        <f aca="false">IF(ISNUMBER(SEARCH("E0",$H75)),1,0)</f>
        <v>0</v>
      </c>
      <c r="T75" s="16" t="n">
        <f aca="false">IF(ISNUMBER(SEARCH("E1",$H75)),1,0)</f>
        <v>0</v>
      </c>
      <c r="U75" s="16" t="n">
        <f aca="false">IF(ISNUMBER(SEARCH("E2",$H75)),1,0)</f>
        <v>1</v>
      </c>
      <c r="V75" s="16" t="n">
        <f aca="false">IF(ISNUMBER(SEARCH("E3",$H75)),1,0)</f>
        <v>0</v>
      </c>
      <c r="W75" s="16" t="n">
        <f aca="false">IF(ISNUMBER(SEARCH("E4",$H75)),1,0)</f>
        <v>0</v>
      </c>
      <c r="X75" s="16" t="n">
        <f aca="false">IF(ISNUMBER(SEARCH("E5",$H75)),1,0)</f>
        <v>0</v>
      </c>
      <c r="Y75" s="16" t="n">
        <f aca="false">IF(ISNUMBER(SEARCH("E6",$H75)),1,0)</f>
        <v>0</v>
      </c>
      <c r="Z75" s="16" t="n">
        <f aca="false">IF(ISNUMBER(SEARCH("E7",$H75)),1,0)</f>
        <v>0</v>
      </c>
      <c r="AA75" s="16" t="n">
        <f aca="false">IF(ISNUMBER(SEARCH("E8",$H75)),1,0)</f>
        <v>0</v>
      </c>
      <c r="AB75" s="16" t="n">
        <f aca="false">IF(ISNUMBER(SEARCH("E9",$H75)),1,0)</f>
        <v>1</v>
      </c>
      <c r="AC75" s="16" t="n">
        <f aca="false">IF(ISNUMBER(SEARCH("TR",$H75)),1,0)</f>
        <v>0</v>
      </c>
      <c r="AD75" s="10" t="s">
        <v>561</v>
      </c>
      <c r="AE75" s="17" t="n">
        <f aca="false">IF(ISNUMBER(SEARCH("S0",$AD75)),1,0)</f>
        <v>0</v>
      </c>
      <c r="AF75" s="17" t="n">
        <f aca="false">IF(ISNUMBER(SEARCH("R01",$AD75)),1,0)</f>
        <v>0</v>
      </c>
      <c r="AG75" s="17" t="n">
        <f aca="false">IF(ISNUMBER(SEARCH("R02R03",$AD75)),1,0)</f>
        <v>1</v>
      </c>
      <c r="AH75" s="17" t="n">
        <f aca="false">IF(ISNUMBER(SEARCH("R04",$AD75)),1,0)</f>
        <v>0</v>
      </c>
      <c r="AI75" s="17" t="n">
        <f aca="false">IF(ISNUMBER(SEARCH("R05",$AD75)),1,0)</f>
        <v>0</v>
      </c>
      <c r="AJ75" s="17" t="n">
        <f aca="false">IF(ISNUMBER(SEARCH("S3R06",$AD75)),1,0)</f>
        <v>0</v>
      </c>
      <c r="AK75" s="17" t="n">
        <f aca="false">IF(ISNUMBER(SEARCH("R07",$AD75)),1,0)</f>
        <v>0</v>
      </c>
      <c r="AL75" s="17" t="n">
        <f aca="false">IF(ISNUMBER(SEARCH("R09",$AD75)),1,0)</f>
        <v>0</v>
      </c>
      <c r="AM75" s="17" t="n">
        <f aca="false">IF(ISNUMBER(SEARCH("R10",$AD75)),1,0)</f>
        <v>0</v>
      </c>
      <c r="AN75" s="17" t="n">
        <f aca="false">IF(ISNUMBER(SEARCH("S5",$AD75)),1,0)</f>
        <v>0</v>
      </c>
      <c r="AO75" s="17" t="n">
        <f aca="false">IF(ISNUMBER(SEARCH("S6",$AD75)),1,0)</f>
        <v>1</v>
      </c>
      <c r="AP75" s="17" t="n">
        <f aca="false">IF(ISNUMBER(SEARCH("TR",$AD75)),1,0)</f>
        <v>0</v>
      </c>
    </row>
    <row r="76" customFormat="false" ht="113.25" hidden="false" customHeight="true" outlineLevel="0" collapsed="false">
      <c r="A76" s="4" t="s">
        <v>562</v>
      </c>
      <c r="B76" s="4" t="s">
        <v>530</v>
      </c>
      <c r="C76" s="4" t="s">
        <v>531</v>
      </c>
      <c r="D76" s="4" t="s">
        <v>563</v>
      </c>
      <c r="E76" s="4" t="s">
        <v>83</v>
      </c>
      <c r="F76" s="4" t="s">
        <v>533</v>
      </c>
      <c r="G76" s="4" t="s">
        <v>98</v>
      </c>
      <c r="H76" s="4" t="s">
        <v>161</v>
      </c>
      <c r="I76" s="4" t="s">
        <v>106</v>
      </c>
      <c r="J76" s="4" t="s">
        <v>94</v>
      </c>
      <c r="K76" s="4" t="s">
        <v>198</v>
      </c>
      <c r="L76" s="4" t="s">
        <v>95</v>
      </c>
      <c r="M76" s="4" t="s">
        <v>49</v>
      </c>
      <c r="N76" s="4" t="s">
        <v>61</v>
      </c>
      <c r="O76" s="4" t="s">
        <v>564</v>
      </c>
      <c r="P76" s="4" t="s">
        <v>535</v>
      </c>
      <c r="Q76" s="4" t="s">
        <v>51</v>
      </c>
      <c r="R76" s="4" t="s">
        <v>540</v>
      </c>
      <c r="S76" s="16" t="n">
        <f aca="false">IF(ISNUMBER(SEARCH("E0",$H76)),1,0)</f>
        <v>0</v>
      </c>
      <c r="T76" s="16" t="n">
        <f aca="false">IF(ISNUMBER(SEARCH("E1",$H76)),1,0)</f>
        <v>0</v>
      </c>
      <c r="U76" s="16" t="n">
        <f aca="false">IF(ISNUMBER(SEARCH("E2",$H76)),1,0)</f>
        <v>0</v>
      </c>
      <c r="V76" s="16" t="n">
        <f aca="false">IF(ISNUMBER(SEARCH("E3",$H76)),1,0)</f>
        <v>0</v>
      </c>
      <c r="W76" s="16" t="n">
        <f aca="false">IF(ISNUMBER(SEARCH("E4",$H76)),1,0)</f>
        <v>0</v>
      </c>
      <c r="X76" s="16" t="n">
        <f aca="false">IF(ISNUMBER(SEARCH("E5",$H76)),1,0)</f>
        <v>0</v>
      </c>
      <c r="Y76" s="16" t="n">
        <f aca="false">IF(ISNUMBER(SEARCH("E6",$H76)),1,0)</f>
        <v>0</v>
      </c>
      <c r="Z76" s="16" t="n">
        <f aca="false">IF(ISNUMBER(SEARCH("E7",$H76)),1,0)</f>
        <v>0</v>
      </c>
      <c r="AA76" s="16" t="n">
        <f aca="false">IF(ISNUMBER(SEARCH("E8",$H76)),1,0)</f>
        <v>0</v>
      </c>
      <c r="AB76" s="16" t="n">
        <f aca="false">IF(ISNUMBER(SEARCH("E9",$H76)),1,0)</f>
        <v>0</v>
      </c>
      <c r="AC76" s="16" t="n">
        <f aca="false">IF(ISNUMBER(SEARCH("TR",$H76)),1,0)</f>
        <v>1</v>
      </c>
      <c r="AD76" s="10" t="s">
        <v>161</v>
      </c>
      <c r="AE76" s="17" t="n">
        <f aca="false">IF(ISNUMBER(SEARCH("S0",$AD76)),1,0)</f>
        <v>0</v>
      </c>
      <c r="AF76" s="17" t="n">
        <f aca="false">IF(ISNUMBER(SEARCH("R01",$AD76)),1,0)</f>
        <v>0</v>
      </c>
      <c r="AG76" s="17" t="n">
        <f aca="false">IF(ISNUMBER(SEARCH("R02R03",$AD76)),1,0)</f>
        <v>0</v>
      </c>
      <c r="AH76" s="17" t="n">
        <f aca="false">IF(ISNUMBER(SEARCH("R04",$AD76)),1,0)</f>
        <v>0</v>
      </c>
      <c r="AI76" s="17" t="n">
        <f aca="false">IF(ISNUMBER(SEARCH("R05",$AD76)),1,0)</f>
        <v>0</v>
      </c>
      <c r="AJ76" s="17" t="n">
        <f aca="false">IF(ISNUMBER(SEARCH("S3R06",$AD76)),1,0)</f>
        <v>0</v>
      </c>
      <c r="AK76" s="17" t="n">
        <f aca="false">IF(ISNUMBER(SEARCH("R07",$AD76)),1,0)</f>
        <v>0</v>
      </c>
      <c r="AL76" s="17" t="n">
        <f aca="false">IF(ISNUMBER(SEARCH("R09",$AD76)),1,0)</f>
        <v>0</v>
      </c>
      <c r="AM76" s="17" t="n">
        <f aca="false">IF(ISNUMBER(SEARCH("R10",$AD76)),1,0)</f>
        <v>0</v>
      </c>
      <c r="AN76" s="17" t="n">
        <f aca="false">IF(ISNUMBER(SEARCH("S5",$AD76)),1,0)</f>
        <v>0</v>
      </c>
      <c r="AO76" s="17" t="n">
        <f aca="false">IF(ISNUMBER(SEARCH("S6",$AD76)),1,0)</f>
        <v>0</v>
      </c>
      <c r="AP76" s="17" t="n">
        <f aca="false">IF(ISNUMBER(SEARCH("TR",$AD76)),1,0)</f>
        <v>1</v>
      </c>
    </row>
    <row r="77" customFormat="false" ht="113.25" hidden="false" customHeight="true" outlineLevel="0" collapsed="false">
      <c r="A77" s="4" t="s">
        <v>565</v>
      </c>
      <c r="B77" s="4" t="s">
        <v>530</v>
      </c>
      <c r="C77" s="4" t="s">
        <v>531</v>
      </c>
      <c r="D77" s="4" t="s">
        <v>566</v>
      </c>
      <c r="E77" s="4" t="s">
        <v>83</v>
      </c>
      <c r="F77" s="4" t="s">
        <v>533</v>
      </c>
      <c r="G77" s="4" t="s">
        <v>45</v>
      </c>
      <c r="H77" s="4" t="s">
        <v>161</v>
      </c>
      <c r="I77" s="4" t="s">
        <v>85</v>
      </c>
      <c r="J77" s="4" t="s">
        <v>47</v>
      </c>
      <c r="K77" s="4" t="s">
        <v>567</v>
      </c>
      <c r="L77" s="4" t="s">
        <v>59</v>
      </c>
      <c r="M77" s="4" t="s">
        <v>49</v>
      </c>
      <c r="N77" s="4" t="s">
        <v>72</v>
      </c>
      <c r="O77" s="4" t="s">
        <v>568</v>
      </c>
      <c r="P77" s="4" t="s">
        <v>535</v>
      </c>
      <c r="Q77" s="4" t="s">
        <v>51</v>
      </c>
      <c r="R77" s="4" t="s">
        <v>569</v>
      </c>
      <c r="S77" s="16" t="n">
        <f aca="false">IF(ISNUMBER(SEARCH("E0",$H77)),1,0)</f>
        <v>0</v>
      </c>
      <c r="T77" s="16" t="n">
        <f aca="false">IF(ISNUMBER(SEARCH("E1",$H77)),1,0)</f>
        <v>0</v>
      </c>
      <c r="U77" s="16" t="n">
        <f aca="false">IF(ISNUMBER(SEARCH("E2",$H77)),1,0)</f>
        <v>0</v>
      </c>
      <c r="V77" s="16" t="n">
        <f aca="false">IF(ISNUMBER(SEARCH("E3",$H77)),1,0)</f>
        <v>0</v>
      </c>
      <c r="W77" s="16" t="n">
        <f aca="false">IF(ISNUMBER(SEARCH("E4",$H77)),1,0)</f>
        <v>0</v>
      </c>
      <c r="X77" s="16" t="n">
        <f aca="false">IF(ISNUMBER(SEARCH("E5",$H77)),1,0)</f>
        <v>0</v>
      </c>
      <c r="Y77" s="16" t="n">
        <f aca="false">IF(ISNUMBER(SEARCH("E6",$H77)),1,0)</f>
        <v>0</v>
      </c>
      <c r="Z77" s="16" t="n">
        <f aca="false">IF(ISNUMBER(SEARCH("E7",$H77)),1,0)</f>
        <v>0</v>
      </c>
      <c r="AA77" s="16" t="n">
        <f aca="false">IF(ISNUMBER(SEARCH("E8",$H77)),1,0)</f>
        <v>0</v>
      </c>
      <c r="AB77" s="16" t="n">
        <f aca="false">IF(ISNUMBER(SEARCH("E9",$H77)),1,0)</f>
        <v>0</v>
      </c>
      <c r="AC77" s="16" t="n">
        <f aca="false">IF(ISNUMBER(SEARCH("TR",$H77)),1,0)</f>
        <v>1</v>
      </c>
      <c r="AD77" s="10" t="s">
        <v>161</v>
      </c>
      <c r="AE77" s="17" t="n">
        <f aca="false">IF(ISNUMBER(SEARCH("S0",$AD77)),1,0)</f>
        <v>0</v>
      </c>
      <c r="AF77" s="17" t="n">
        <f aca="false">IF(ISNUMBER(SEARCH("R01",$AD77)),1,0)</f>
        <v>0</v>
      </c>
      <c r="AG77" s="17" t="n">
        <f aca="false">IF(ISNUMBER(SEARCH("R02R03",$AD77)),1,0)</f>
        <v>0</v>
      </c>
      <c r="AH77" s="17" t="n">
        <f aca="false">IF(ISNUMBER(SEARCH("R04",$AD77)),1,0)</f>
        <v>0</v>
      </c>
      <c r="AI77" s="17" t="n">
        <f aca="false">IF(ISNUMBER(SEARCH("R05",$AD77)),1,0)</f>
        <v>0</v>
      </c>
      <c r="AJ77" s="17" t="n">
        <f aca="false">IF(ISNUMBER(SEARCH("S3R06",$AD77)),1,0)</f>
        <v>0</v>
      </c>
      <c r="AK77" s="17" t="n">
        <f aca="false">IF(ISNUMBER(SEARCH("R07",$AD77)),1,0)</f>
        <v>0</v>
      </c>
      <c r="AL77" s="17" t="n">
        <f aca="false">IF(ISNUMBER(SEARCH("R09",$AD77)),1,0)</f>
        <v>0</v>
      </c>
      <c r="AM77" s="17" t="n">
        <f aca="false">IF(ISNUMBER(SEARCH("R10",$AD77)),1,0)</f>
        <v>0</v>
      </c>
      <c r="AN77" s="17" t="n">
        <f aca="false">IF(ISNUMBER(SEARCH("S5",$AD77)),1,0)</f>
        <v>0</v>
      </c>
      <c r="AO77" s="17" t="n">
        <f aca="false">IF(ISNUMBER(SEARCH("S6",$AD77)),1,0)</f>
        <v>0</v>
      </c>
      <c r="AP77" s="17" t="n">
        <f aca="false">IF(ISNUMBER(SEARCH("TR",$AD77)),1,0)</f>
        <v>1</v>
      </c>
    </row>
    <row r="78" customFormat="false" ht="113.25" hidden="false" customHeight="true" outlineLevel="0" collapsed="false">
      <c r="A78" s="4" t="s">
        <v>570</v>
      </c>
      <c r="B78" s="4" t="s">
        <v>530</v>
      </c>
      <c r="C78" s="4" t="s">
        <v>531</v>
      </c>
      <c r="D78" s="4" t="s">
        <v>571</v>
      </c>
      <c r="E78" s="4" t="s">
        <v>83</v>
      </c>
      <c r="F78" s="4" t="s">
        <v>533</v>
      </c>
      <c r="G78" s="4" t="s">
        <v>110</v>
      </c>
      <c r="H78" s="4" t="s">
        <v>144</v>
      </c>
      <c r="I78" s="4" t="s">
        <v>68</v>
      </c>
      <c r="J78" s="4" t="s">
        <v>58</v>
      </c>
      <c r="K78" s="4" t="s">
        <v>198</v>
      </c>
      <c r="L78" s="4" t="s">
        <v>95</v>
      </c>
      <c r="M78" s="4" t="s">
        <v>49</v>
      </c>
      <c r="N78" s="4" t="s">
        <v>50</v>
      </c>
      <c r="O78" s="4" t="s">
        <v>572</v>
      </c>
      <c r="P78" s="4" t="s">
        <v>535</v>
      </c>
      <c r="Q78" s="4" t="s">
        <v>51</v>
      </c>
      <c r="R78" s="4" t="s">
        <v>573</v>
      </c>
      <c r="S78" s="16" t="n">
        <f aca="false">IF(ISNUMBER(SEARCH("E0",$H78)),1,0)</f>
        <v>0</v>
      </c>
      <c r="T78" s="16" t="n">
        <f aca="false">IF(ISNUMBER(SEARCH("E1",$H78)),1,0)</f>
        <v>0</v>
      </c>
      <c r="U78" s="16" t="n">
        <f aca="false">IF(ISNUMBER(SEARCH("E2",$H78)),1,0)</f>
        <v>1</v>
      </c>
      <c r="V78" s="16" t="n">
        <f aca="false">IF(ISNUMBER(SEARCH("E3",$H78)),1,0)</f>
        <v>0</v>
      </c>
      <c r="W78" s="16" t="n">
        <f aca="false">IF(ISNUMBER(SEARCH("E4",$H78)),1,0)</f>
        <v>0</v>
      </c>
      <c r="X78" s="16" t="n">
        <f aca="false">IF(ISNUMBER(SEARCH("E5",$H78)),1,0)</f>
        <v>0</v>
      </c>
      <c r="Y78" s="16" t="n">
        <f aca="false">IF(ISNUMBER(SEARCH("E6",$H78)),1,0)</f>
        <v>0</v>
      </c>
      <c r="Z78" s="16" t="n">
        <f aca="false">IF(ISNUMBER(SEARCH("E7",$H78)),1,0)</f>
        <v>0</v>
      </c>
      <c r="AA78" s="16" t="n">
        <f aca="false">IF(ISNUMBER(SEARCH("E8",$H78)),1,0)</f>
        <v>0</v>
      </c>
      <c r="AB78" s="16" t="n">
        <f aca="false">IF(ISNUMBER(SEARCH("E9",$H78)),1,0)</f>
        <v>0</v>
      </c>
      <c r="AC78" s="16" t="n">
        <f aca="false">IF(ISNUMBER(SEARCH("TR",$H78)),1,0)</f>
        <v>0</v>
      </c>
      <c r="AD78" s="10" t="s">
        <v>574</v>
      </c>
      <c r="AE78" s="17" t="n">
        <f aca="false">IF(ISNUMBER(SEARCH("S0",$AD78)),1,0)</f>
        <v>0</v>
      </c>
      <c r="AF78" s="17" t="n">
        <f aca="false">IF(ISNUMBER(SEARCH("R01",$AD78)),1,0)</f>
        <v>0</v>
      </c>
      <c r="AG78" s="17" t="n">
        <f aca="false">IF(ISNUMBER(SEARCH("R02R03",$AD78)),1,0)</f>
        <v>1</v>
      </c>
      <c r="AH78" s="17" t="n">
        <f aca="false">IF(ISNUMBER(SEARCH("R04",$AD78)),1,0)</f>
        <v>0</v>
      </c>
      <c r="AI78" s="17" t="n">
        <f aca="false">IF(ISNUMBER(SEARCH("R05",$AD78)),1,0)</f>
        <v>0</v>
      </c>
      <c r="AJ78" s="17" t="n">
        <f aca="false">IF(ISNUMBER(SEARCH("S3R06",$AD78)),1,0)</f>
        <v>0</v>
      </c>
      <c r="AK78" s="17" t="n">
        <f aca="false">IF(ISNUMBER(SEARCH("R07",$AD78)),1,0)</f>
        <v>0</v>
      </c>
      <c r="AL78" s="17" t="n">
        <f aca="false">IF(ISNUMBER(SEARCH("R09",$AD78)),1,0)</f>
        <v>0</v>
      </c>
      <c r="AM78" s="17" t="n">
        <f aca="false">IF(ISNUMBER(SEARCH("R10",$AD78)),1,0)</f>
        <v>0</v>
      </c>
      <c r="AN78" s="17" t="n">
        <f aca="false">IF(ISNUMBER(SEARCH("S5",$AD78)),1,0)</f>
        <v>0</v>
      </c>
      <c r="AO78" s="17" t="n">
        <f aca="false">IF(ISNUMBER(SEARCH("S6",$AD78)),1,0)</f>
        <v>0</v>
      </c>
      <c r="AP78" s="17" t="n">
        <f aca="false">IF(ISNUMBER(SEARCH("TR",$AD78)),1,0)</f>
        <v>0</v>
      </c>
    </row>
    <row r="79" customFormat="false" ht="113.25" hidden="false" customHeight="true" outlineLevel="0" collapsed="false">
      <c r="A79" s="4" t="s">
        <v>575</v>
      </c>
      <c r="B79" s="4" t="s">
        <v>530</v>
      </c>
      <c r="C79" s="4" t="s">
        <v>531</v>
      </c>
      <c r="D79" s="4" t="s">
        <v>576</v>
      </c>
      <c r="E79" s="4" t="s">
        <v>83</v>
      </c>
      <c r="F79" s="4" t="s">
        <v>533</v>
      </c>
      <c r="G79" s="4" t="s">
        <v>56</v>
      </c>
      <c r="H79" s="4" t="s">
        <v>161</v>
      </c>
      <c r="I79" s="4" t="s">
        <v>118</v>
      </c>
      <c r="J79" s="4" t="s">
        <v>47</v>
      </c>
      <c r="K79" s="4" t="s">
        <v>198</v>
      </c>
      <c r="L79" s="4" t="s">
        <v>101</v>
      </c>
      <c r="M79" s="4" t="s">
        <v>49</v>
      </c>
      <c r="N79" s="4" t="s">
        <v>61</v>
      </c>
      <c r="O79" s="4" t="s">
        <v>577</v>
      </c>
      <c r="P79" s="4" t="s">
        <v>535</v>
      </c>
      <c r="Q79" s="4" t="s">
        <v>51</v>
      </c>
      <c r="R79" s="4" t="s">
        <v>578</v>
      </c>
      <c r="S79" s="16" t="n">
        <f aca="false">IF(ISNUMBER(SEARCH("E0",$H79)),1,0)</f>
        <v>0</v>
      </c>
      <c r="T79" s="16" t="n">
        <f aca="false">IF(ISNUMBER(SEARCH("E1",$H79)),1,0)</f>
        <v>0</v>
      </c>
      <c r="U79" s="16" t="n">
        <f aca="false">IF(ISNUMBER(SEARCH("E2",$H79)),1,0)</f>
        <v>0</v>
      </c>
      <c r="V79" s="16" t="n">
        <f aca="false">IF(ISNUMBER(SEARCH("E3",$H79)),1,0)</f>
        <v>0</v>
      </c>
      <c r="W79" s="16" t="n">
        <f aca="false">IF(ISNUMBER(SEARCH("E4",$H79)),1,0)</f>
        <v>0</v>
      </c>
      <c r="X79" s="16" t="n">
        <f aca="false">IF(ISNUMBER(SEARCH("E5",$H79)),1,0)</f>
        <v>0</v>
      </c>
      <c r="Y79" s="16" t="n">
        <f aca="false">IF(ISNUMBER(SEARCH("E6",$H79)),1,0)</f>
        <v>0</v>
      </c>
      <c r="Z79" s="16" t="n">
        <f aca="false">IF(ISNUMBER(SEARCH("E7",$H79)),1,0)</f>
        <v>0</v>
      </c>
      <c r="AA79" s="16" t="n">
        <f aca="false">IF(ISNUMBER(SEARCH("E8",$H79)),1,0)</f>
        <v>0</v>
      </c>
      <c r="AB79" s="16" t="n">
        <f aca="false">IF(ISNUMBER(SEARCH("E9",$H79)),1,0)</f>
        <v>0</v>
      </c>
      <c r="AC79" s="16" t="n">
        <f aca="false">IF(ISNUMBER(SEARCH("TR",$H79)),1,0)</f>
        <v>1</v>
      </c>
      <c r="AD79" s="10" t="s">
        <v>161</v>
      </c>
      <c r="AE79" s="17" t="n">
        <f aca="false">IF(ISNUMBER(SEARCH("S0",$AD79)),1,0)</f>
        <v>0</v>
      </c>
      <c r="AF79" s="17" t="n">
        <f aca="false">IF(ISNUMBER(SEARCH("R01",$AD79)),1,0)</f>
        <v>0</v>
      </c>
      <c r="AG79" s="17" t="n">
        <f aca="false">IF(ISNUMBER(SEARCH("R02R03",$AD79)),1,0)</f>
        <v>0</v>
      </c>
      <c r="AH79" s="17" t="n">
        <f aca="false">IF(ISNUMBER(SEARCH("R04",$AD79)),1,0)</f>
        <v>0</v>
      </c>
      <c r="AI79" s="17" t="n">
        <f aca="false">IF(ISNUMBER(SEARCH("R05",$AD79)),1,0)</f>
        <v>0</v>
      </c>
      <c r="AJ79" s="17" t="n">
        <f aca="false">IF(ISNUMBER(SEARCH("S3R06",$AD79)),1,0)</f>
        <v>0</v>
      </c>
      <c r="AK79" s="17" t="n">
        <f aca="false">IF(ISNUMBER(SEARCH("R07",$AD79)),1,0)</f>
        <v>0</v>
      </c>
      <c r="AL79" s="17" t="n">
        <f aca="false">IF(ISNUMBER(SEARCH("R09",$AD79)),1,0)</f>
        <v>0</v>
      </c>
      <c r="AM79" s="17" t="n">
        <f aca="false">IF(ISNUMBER(SEARCH("R10",$AD79)),1,0)</f>
        <v>0</v>
      </c>
      <c r="AN79" s="17" t="n">
        <f aca="false">IF(ISNUMBER(SEARCH("S5",$AD79)),1,0)</f>
        <v>0</v>
      </c>
      <c r="AO79" s="17" t="n">
        <f aca="false">IF(ISNUMBER(SEARCH("S6",$AD79)),1,0)</f>
        <v>0</v>
      </c>
      <c r="AP79" s="17" t="n">
        <f aca="false">IF(ISNUMBER(SEARCH("TR",$AD79)),1,0)</f>
        <v>1</v>
      </c>
    </row>
    <row r="80" customFormat="false" ht="113.25" hidden="false" customHeight="true" outlineLevel="0" collapsed="false">
      <c r="A80" s="4" t="s">
        <v>579</v>
      </c>
      <c r="B80" s="4" t="s">
        <v>530</v>
      </c>
      <c r="C80" s="4" t="s">
        <v>531</v>
      </c>
      <c r="D80" s="4" t="s">
        <v>580</v>
      </c>
      <c r="E80" s="4" t="s">
        <v>83</v>
      </c>
      <c r="F80" s="4" t="s">
        <v>533</v>
      </c>
      <c r="G80" s="4" t="s">
        <v>45</v>
      </c>
      <c r="H80" s="4" t="s">
        <v>581</v>
      </c>
      <c r="I80" s="4" t="s">
        <v>46</v>
      </c>
      <c r="J80" s="4" t="s">
        <v>47</v>
      </c>
      <c r="K80" s="4" t="s">
        <v>198</v>
      </c>
      <c r="L80" s="4" t="s">
        <v>95</v>
      </c>
      <c r="M80" s="4" t="s">
        <v>49</v>
      </c>
      <c r="N80" s="4" t="s">
        <v>61</v>
      </c>
      <c r="O80" s="4" t="s">
        <v>582</v>
      </c>
      <c r="P80" s="4" t="s">
        <v>535</v>
      </c>
      <c r="Q80" s="4" t="s">
        <v>51</v>
      </c>
      <c r="R80" s="4" t="s">
        <v>583</v>
      </c>
      <c r="S80" s="16" t="n">
        <f aca="false">IF(ISNUMBER(SEARCH("E0",$H80)),1,0)</f>
        <v>1</v>
      </c>
      <c r="T80" s="16" t="n">
        <f aca="false">IF(ISNUMBER(SEARCH("E1",$H80)),1,0)</f>
        <v>0</v>
      </c>
      <c r="U80" s="16" t="n">
        <f aca="false">IF(ISNUMBER(SEARCH("E2",$H80)),1,0)</f>
        <v>0</v>
      </c>
      <c r="V80" s="16" t="n">
        <f aca="false">IF(ISNUMBER(SEARCH("E3",$H80)),1,0)</f>
        <v>1</v>
      </c>
      <c r="W80" s="16" t="n">
        <f aca="false">IF(ISNUMBER(SEARCH("E4",$H80)),1,0)</f>
        <v>1</v>
      </c>
      <c r="X80" s="16" t="n">
        <f aca="false">IF(ISNUMBER(SEARCH("E5",$H80)),1,0)</f>
        <v>0</v>
      </c>
      <c r="Y80" s="16" t="n">
        <f aca="false">IF(ISNUMBER(SEARCH("E6",$H80)),1,0)</f>
        <v>0</v>
      </c>
      <c r="Z80" s="16" t="n">
        <f aca="false">IF(ISNUMBER(SEARCH("E7",$H80)),1,0)</f>
        <v>0</v>
      </c>
      <c r="AA80" s="16" t="n">
        <f aca="false">IF(ISNUMBER(SEARCH("E8",$H80)),1,0)</f>
        <v>0</v>
      </c>
      <c r="AB80" s="16" t="n">
        <f aca="false">IF(ISNUMBER(SEARCH("E9",$H80)),1,0)</f>
        <v>0</v>
      </c>
      <c r="AC80" s="16" t="n">
        <f aca="false">IF(ISNUMBER(SEARCH("TR",$H80)),1,0)</f>
        <v>0</v>
      </c>
      <c r="AD80" s="10" t="s">
        <v>584</v>
      </c>
      <c r="AE80" s="17" t="n">
        <f aca="false">IF(ISNUMBER(SEARCH("S0",$AD80)),1,0)</f>
        <v>1</v>
      </c>
      <c r="AF80" s="17" t="n">
        <f aca="false">IF(ISNUMBER(SEARCH("R01",$AD80)),1,0)</f>
        <v>0</v>
      </c>
      <c r="AG80" s="17" t="n">
        <f aca="false">IF(ISNUMBER(SEARCH("R02R03",$AD80)),1,0)</f>
        <v>0</v>
      </c>
      <c r="AH80" s="17" t="n">
        <f aca="false">IF(ISNUMBER(SEARCH("R04",$AD80)),1,0)</f>
        <v>1</v>
      </c>
      <c r="AI80" s="17" t="n">
        <f aca="false">IF(ISNUMBER(SEARCH("R05",$AD80)),1,0)</f>
        <v>1</v>
      </c>
      <c r="AJ80" s="17" t="n">
        <f aca="false">IF(ISNUMBER(SEARCH("S3R06",$AD80)),1,0)</f>
        <v>0</v>
      </c>
      <c r="AK80" s="17" t="n">
        <f aca="false">IF(ISNUMBER(SEARCH("R07",$AD80)),1,0)</f>
        <v>0</v>
      </c>
      <c r="AL80" s="17" t="n">
        <f aca="false">IF(ISNUMBER(SEARCH("R09",$AD80)),1,0)</f>
        <v>0</v>
      </c>
      <c r="AM80" s="17" t="n">
        <f aca="false">IF(ISNUMBER(SEARCH("R10",$AD80)),1,0)</f>
        <v>0</v>
      </c>
      <c r="AN80" s="17" t="n">
        <f aca="false">IF(ISNUMBER(SEARCH("S5",$AD80)),1,0)</f>
        <v>0</v>
      </c>
      <c r="AO80" s="17" t="n">
        <f aca="false">IF(ISNUMBER(SEARCH("S6",$AD80)),1,0)</f>
        <v>0</v>
      </c>
      <c r="AP80" s="17" t="n">
        <f aca="false">IF(ISNUMBER(SEARCH("TR",$AD80)),1,0)</f>
        <v>0</v>
      </c>
    </row>
    <row r="81" customFormat="false" ht="113.25" hidden="false" customHeight="true" outlineLevel="0" collapsed="false">
      <c r="A81" s="4" t="s">
        <v>585</v>
      </c>
      <c r="B81" s="4" t="s">
        <v>530</v>
      </c>
      <c r="C81" s="4" t="s">
        <v>531</v>
      </c>
      <c r="D81" s="4" t="s">
        <v>586</v>
      </c>
      <c r="E81" s="4" t="s">
        <v>83</v>
      </c>
      <c r="F81" s="4" t="s">
        <v>533</v>
      </c>
      <c r="G81" s="4" t="s">
        <v>92</v>
      </c>
      <c r="H81" s="4" t="s">
        <v>587</v>
      </c>
      <c r="I81" s="4" t="s">
        <v>85</v>
      </c>
      <c r="J81" s="4" t="s">
        <v>58</v>
      </c>
      <c r="K81" s="4" t="s">
        <v>198</v>
      </c>
      <c r="L81" s="4" t="s">
        <v>95</v>
      </c>
      <c r="M81" s="4" t="s">
        <v>49</v>
      </c>
      <c r="N81" s="4" t="s">
        <v>50</v>
      </c>
      <c r="O81" s="4" t="s">
        <v>588</v>
      </c>
      <c r="P81" s="4" t="s">
        <v>535</v>
      </c>
      <c r="Q81" s="4" t="s">
        <v>51</v>
      </c>
      <c r="R81" s="4" t="s">
        <v>540</v>
      </c>
      <c r="S81" s="16" t="n">
        <f aca="false">IF(ISNUMBER(SEARCH("E0",$H81)),1,0)</f>
        <v>1</v>
      </c>
      <c r="T81" s="16" t="n">
        <f aca="false">IF(ISNUMBER(SEARCH("E1",$H81)),1,0)</f>
        <v>0</v>
      </c>
      <c r="U81" s="16" t="n">
        <f aca="false">IF(ISNUMBER(SEARCH("E2",$H81)),1,0)</f>
        <v>0</v>
      </c>
      <c r="V81" s="16" t="n">
        <f aca="false">IF(ISNUMBER(SEARCH("E3",$H81)),1,0)</f>
        <v>1</v>
      </c>
      <c r="W81" s="16" t="n">
        <f aca="false">IF(ISNUMBER(SEARCH("E4",$H81)),1,0)</f>
        <v>0</v>
      </c>
      <c r="X81" s="16" t="n">
        <f aca="false">IF(ISNUMBER(SEARCH("E5",$H81)),1,0)</f>
        <v>1</v>
      </c>
      <c r="Y81" s="16" t="n">
        <f aca="false">IF(ISNUMBER(SEARCH("E6",$H81)),1,0)</f>
        <v>0</v>
      </c>
      <c r="Z81" s="16" t="n">
        <f aca="false">IF(ISNUMBER(SEARCH("E7",$H81)),1,0)</f>
        <v>0</v>
      </c>
      <c r="AA81" s="16" t="n">
        <f aca="false">IF(ISNUMBER(SEARCH("E8",$H81)),1,0)</f>
        <v>0</v>
      </c>
      <c r="AB81" s="16" t="n">
        <f aca="false">IF(ISNUMBER(SEARCH("E9",$H81)),1,0)</f>
        <v>0</v>
      </c>
      <c r="AC81" s="16" t="n">
        <f aca="false">IF(ISNUMBER(SEARCH("TR",$H81)),1,0)</f>
        <v>0</v>
      </c>
      <c r="AD81" s="10" t="s">
        <v>589</v>
      </c>
      <c r="AE81" s="17" t="n">
        <f aca="false">IF(ISNUMBER(SEARCH("S0",$AD81)),1,0)</f>
        <v>1</v>
      </c>
      <c r="AF81" s="17" t="n">
        <f aca="false">IF(ISNUMBER(SEARCH("R01",$AD81)),1,0)</f>
        <v>0</v>
      </c>
      <c r="AG81" s="17" t="n">
        <f aca="false">IF(ISNUMBER(SEARCH("R02R03",$AD81)),1,0)</f>
        <v>0</v>
      </c>
      <c r="AH81" s="17" t="n">
        <f aca="false">IF(ISNUMBER(SEARCH("R04",$AD81)),1,0)</f>
        <v>1</v>
      </c>
      <c r="AI81" s="17" t="n">
        <f aca="false">IF(ISNUMBER(SEARCH("R05",$AD81)),1,0)</f>
        <v>0</v>
      </c>
      <c r="AJ81" s="17" t="n">
        <f aca="false">IF(ISNUMBER(SEARCH("S3R06",$AD81)),1,0)</f>
        <v>1</v>
      </c>
      <c r="AK81" s="17" t="n">
        <f aca="false">IF(ISNUMBER(SEARCH("R07",$AD81)),1,0)</f>
        <v>0</v>
      </c>
      <c r="AL81" s="17" t="n">
        <f aca="false">IF(ISNUMBER(SEARCH("R09",$AD81)),1,0)</f>
        <v>0</v>
      </c>
      <c r="AM81" s="17" t="n">
        <f aca="false">IF(ISNUMBER(SEARCH("R10",$AD81)),1,0)</f>
        <v>0</v>
      </c>
      <c r="AN81" s="17" t="n">
        <f aca="false">IF(ISNUMBER(SEARCH("S5",$AD81)),1,0)</f>
        <v>0</v>
      </c>
      <c r="AO81" s="17" t="n">
        <f aca="false">IF(ISNUMBER(SEARCH("S6",$AD81)),1,0)</f>
        <v>0</v>
      </c>
      <c r="AP81" s="17" t="n">
        <f aca="false">IF(ISNUMBER(SEARCH("TR",$AD81)),1,0)</f>
        <v>0</v>
      </c>
    </row>
    <row r="82" customFormat="false" ht="113.25" hidden="false" customHeight="true" outlineLevel="0" collapsed="false">
      <c r="A82" s="4" t="s">
        <v>590</v>
      </c>
      <c r="B82" s="4" t="s">
        <v>530</v>
      </c>
      <c r="C82" s="4" t="s">
        <v>531</v>
      </c>
      <c r="D82" s="4" t="s">
        <v>591</v>
      </c>
      <c r="E82" s="4" t="s">
        <v>83</v>
      </c>
      <c r="F82" s="4" t="s">
        <v>533</v>
      </c>
      <c r="G82" s="4" t="s">
        <v>98</v>
      </c>
      <c r="H82" s="4" t="s">
        <v>592</v>
      </c>
      <c r="I82" s="4" t="s">
        <v>57</v>
      </c>
      <c r="J82" s="4" t="s">
        <v>78</v>
      </c>
      <c r="K82" s="4" t="s">
        <v>198</v>
      </c>
      <c r="L82" s="4" t="s">
        <v>95</v>
      </c>
      <c r="M82" s="4" t="s">
        <v>49</v>
      </c>
      <c r="N82" s="4" t="s">
        <v>50</v>
      </c>
      <c r="O82" s="4" t="s">
        <v>593</v>
      </c>
      <c r="P82" s="4" t="s">
        <v>535</v>
      </c>
      <c r="Q82" s="4" t="s">
        <v>51</v>
      </c>
      <c r="R82" s="4" t="s">
        <v>594</v>
      </c>
      <c r="S82" s="16" t="n">
        <f aca="false">IF(ISNUMBER(SEARCH("E0",$H82)),1,0)</f>
        <v>0</v>
      </c>
      <c r="T82" s="16" t="n">
        <f aca="false">IF(ISNUMBER(SEARCH("E1",$H82)),1,0)</f>
        <v>0</v>
      </c>
      <c r="U82" s="16" t="n">
        <f aca="false">IF(ISNUMBER(SEARCH("E2",$H82)),1,0)</f>
        <v>0</v>
      </c>
      <c r="V82" s="16" t="n">
        <f aca="false">IF(ISNUMBER(SEARCH("E3",$H82)),1,0)</f>
        <v>1</v>
      </c>
      <c r="W82" s="16" t="n">
        <f aca="false">IF(ISNUMBER(SEARCH("E4",$H82)),1,0)</f>
        <v>0</v>
      </c>
      <c r="X82" s="16" t="n">
        <f aca="false">IF(ISNUMBER(SEARCH("E5",$H82)),1,0)</f>
        <v>1</v>
      </c>
      <c r="Y82" s="16" t="n">
        <f aca="false">IF(ISNUMBER(SEARCH("E6",$H82)),1,0)</f>
        <v>0</v>
      </c>
      <c r="Z82" s="16" t="n">
        <f aca="false">IF(ISNUMBER(SEARCH("E7",$H82)),1,0)</f>
        <v>0</v>
      </c>
      <c r="AA82" s="16" t="n">
        <f aca="false">IF(ISNUMBER(SEARCH("E8",$H82)),1,0)</f>
        <v>0</v>
      </c>
      <c r="AB82" s="16" t="n">
        <f aca="false">IF(ISNUMBER(SEARCH("E9",$H82)),1,0)</f>
        <v>0</v>
      </c>
      <c r="AC82" s="16" t="n">
        <f aca="false">IF(ISNUMBER(SEARCH("TR",$H82)),1,0)</f>
        <v>0</v>
      </c>
      <c r="AD82" s="10" t="s">
        <v>595</v>
      </c>
      <c r="AE82" s="17" t="n">
        <f aca="false">IF(ISNUMBER(SEARCH("S0",$AD82)),1,0)</f>
        <v>0</v>
      </c>
      <c r="AF82" s="17" t="n">
        <f aca="false">IF(ISNUMBER(SEARCH("R01",$AD82)),1,0)</f>
        <v>0</v>
      </c>
      <c r="AG82" s="17" t="n">
        <f aca="false">IF(ISNUMBER(SEARCH("R02R03",$AD82)),1,0)</f>
        <v>0</v>
      </c>
      <c r="AH82" s="17" t="n">
        <f aca="false">IF(ISNUMBER(SEARCH("R04",$AD82)),1,0)</f>
        <v>1</v>
      </c>
      <c r="AI82" s="17" t="n">
        <f aca="false">IF(ISNUMBER(SEARCH("R05",$AD82)),1,0)</f>
        <v>0</v>
      </c>
      <c r="AJ82" s="17" t="n">
        <f aca="false">IF(ISNUMBER(SEARCH("S3R06",$AD82)),1,0)</f>
        <v>1</v>
      </c>
      <c r="AK82" s="17" t="n">
        <f aca="false">IF(ISNUMBER(SEARCH("R07",$AD82)),1,0)</f>
        <v>0</v>
      </c>
      <c r="AL82" s="17" t="n">
        <f aca="false">IF(ISNUMBER(SEARCH("R09",$AD82)),1,0)</f>
        <v>0</v>
      </c>
      <c r="AM82" s="17" t="n">
        <f aca="false">IF(ISNUMBER(SEARCH("R10",$AD82)),1,0)</f>
        <v>0</v>
      </c>
      <c r="AN82" s="17" t="n">
        <f aca="false">IF(ISNUMBER(SEARCH("S5",$AD82)),1,0)</f>
        <v>0</v>
      </c>
      <c r="AO82" s="17" t="n">
        <f aca="false">IF(ISNUMBER(SEARCH("S6",$AD82)),1,0)</f>
        <v>0</v>
      </c>
      <c r="AP82" s="17" t="n">
        <f aca="false">IF(ISNUMBER(SEARCH("TR",$AD82)),1,0)</f>
        <v>0</v>
      </c>
    </row>
    <row r="83" customFormat="false" ht="113.25" hidden="false" customHeight="true" outlineLevel="0" collapsed="false">
      <c r="A83" s="4" t="s">
        <v>596</v>
      </c>
      <c r="B83" s="4" t="s">
        <v>530</v>
      </c>
      <c r="C83" s="4" t="s">
        <v>531</v>
      </c>
      <c r="D83" s="4" t="s">
        <v>597</v>
      </c>
      <c r="E83" s="4" t="s">
        <v>83</v>
      </c>
      <c r="F83" s="4" t="s">
        <v>533</v>
      </c>
      <c r="G83" s="4" t="s">
        <v>92</v>
      </c>
      <c r="H83" s="4" t="s">
        <v>592</v>
      </c>
      <c r="I83" s="4" t="s">
        <v>68</v>
      </c>
      <c r="J83" s="4" t="s">
        <v>58</v>
      </c>
      <c r="K83" s="4" t="s">
        <v>198</v>
      </c>
      <c r="L83" s="4" t="s">
        <v>95</v>
      </c>
      <c r="M83" s="4" t="s">
        <v>49</v>
      </c>
      <c r="N83" s="4" t="s">
        <v>50</v>
      </c>
      <c r="O83" s="4" t="s">
        <v>598</v>
      </c>
      <c r="P83" s="4" t="s">
        <v>535</v>
      </c>
      <c r="Q83" s="4" t="s">
        <v>51</v>
      </c>
      <c r="R83" s="4" t="s">
        <v>540</v>
      </c>
      <c r="S83" s="16" t="n">
        <f aca="false">IF(ISNUMBER(SEARCH("E0",$H83)),1,0)</f>
        <v>0</v>
      </c>
      <c r="T83" s="16" t="n">
        <f aca="false">IF(ISNUMBER(SEARCH("E1",$H83)),1,0)</f>
        <v>0</v>
      </c>
      <c r="U83" s="16" t="n">
        <f aca="false">IF(ISNUMBER(SEARCH("E2",$H83)),1,0)</f>
        <v>0</v>
      </c>
      <c r="V83" s="16" t="n">
        <f aca="false">IF(ISNUMBER(SEARCH("E3",$H83)),1,0)</f>
        <v>1</v>
      </c>
      <c r="W83" s="16" t="n">
        <f aca="false">IF(ISNUMBER(SEARCH("E4",$H83)),1,0)</f>
        <v>0</v>
      </c>
      <c r="X83" s="16" t="n">
        <f aca="false">IF(ISNUMBER(SEARCH("E5",$H83)),1,0)</f>
        <v>1</v>
      </c>
      <c r="Y83" s="16" t="n">
        <f aca="false">IF(ISNUMBER(SEARCH("E6",$H83)),1,0)</f>
        <v>0</v>
      </c>
      <c r="Z83" s="16" t="n">
        <f aca="false">IF(ISNUMBER(SEARCH("E7",$H83)),1,0)</f>
        <v>0</v>
      </c>
      <c r="AA83" s="16" t="n">
        <f aca="false">IF(ISNUMBER(SEARCH("E8",$H83)),1,0)</f>
        <v>0</v>
      </c>
      <c r="AB83" s="16" t="n">
        <f aca="false">IF(ISNUMBER(SEARCH("E9",$H83)),1,0)</f>
        <v>0</v>
      </c>
      <c r="AC83" s="16" t="n">
        <f aca="false">IF(ISNUMBER(SEARCH("TR",$H83)),1,0)</f>
        <v>0</v>
      </c>
      <c r="AD83" s="10" t="s">
        <v>595</v>
      </c>
      <c r="AE83" s="17" t="n">
        <f aca="false">IF(ISNUMBER(SEARCH("S0",$AD83)),1,0)</f>
        <v>0</v>
      </c>
      <c r="AF83" s="17" t="n">
        <f aca="false">IF(ISNUMBER(SEARCH("R01",$AD83)),1,0)</f>
        <v>0</v>
      </c>
      <c r="AG83" s="17" t="n">
        <f aca="false">IF(ISNUMBER(SEARCH("R02R03",$AD83)),1,0)</f>
        <v>0</v>
      </c>
      <c r="AH83" s="17" t="n">
        <f aca="false">IF(ISNUMBER(SEARCH("R04",$AD83)),1,0)</f>
        <v>1</v>
      </c>
      <c r="AI83" s="17" t="n">
        <f aca="false">IF(ISNUMBER(SEARCH("R05",$AD83)),1,0)</f>
        <v>0</v>
      </c>
      <c r="AJ83" s="17" t="n">
        <f aca="false">IF(ISNUMBER(SEARCH("S3R06",$AD83)),1,0)</f>
        <v>1</v>
      </c>
      <c r="AK83" s="17" t="n">
        <f aca="false">IF(ISNUMBER(SEARCH("R07",$AD83)),1,0)</f>
        <v>0</v>
      </c>
      <c r="AL83" s="17" t="n">
        <f aca="false">IF(ISNUMBER(SEARCH("R09",$AD83)),1,0)</f>
        <v>0</v>
      </c>
      <c r="AM83" s="17" t="n">
        <f aca="false">IF(ISNUMBER(SEARCH("R10",$AD83)),1,0)</f>
        <v>0</v>
      </c>
      <c r="AN83" s="17" t="n">
        <f aca="false">IF(ISNUMBER(SEARCH("S5",$AD83)),1,0)</f>
        <v>0</v>
      </c>
      <c r="AO83" s="17" t="n">
        <f aca="false">IF(ISNUMBER(SEARCH("S6",$AD83)),1,0)</f>
        <v>0</v>
      </c>
      <c r="AP83" s="17" t="n">
        <f aca="false">IF(ISNUMBER(SEARCH("TR",$AD83)),1,0)</f>
        <v>0</v>
      </c>
    </row>
    <row r="84" customFormat="false" ht="113.25" hidden="false" customHeight="true" outlineLevel="0" collapsed="false">
      <c r="A84" s="4" t="s">
        <v>599</v>
      </c>
      <c r="B84" s="4" t="s">
        <v>530</v>
      </c>
      <c r="C84" s="4" t="s">
        <v>531</v>
      </c>
      <c r="D84" s="4" t="s">
        <v>600</v>
      </c>
      <c r="E84" s="4" t="s">
        <v>83</v>
      </c>
      <c r="F84" s="4" t="s">
        <v>533</v>
      </c>
      <c r="G84" s="4" t="s">
        <v>110</v>
      </c>
      <c r="H84" s="4" t="s">
        <v>601</v>
      </c>
      <c r="I84" s="4" t="s">
        <v>68</v>
      </c>
      <c r="J84" s="4" t="s">
        <v>47</v>
      </c>
      <c r="K84" s="4" t="s">
        <v>198</v>
      </c>
      <c r="L84" s="4" t="s">
        <v>95</v>
      </c>
      <c r="M84" s="4" t="s">
        <v>49</v>
      </c>
      <c r="N84" s="4" t="s">
        <v>50</v>
      </c>
      <c r="O84" s="4" t="s">
        <v>602</v>
      </c>
      <c r="P84" s="4" t="s">
        <v>535</v>
      </c>
      <c r="Q84" s="4" t="s">
        <v>51</v>
      </c>
      <c r="R84" s="4" t="s">
        <v>603</v>
      </c>
      <c r="S84" s="16" t="n">
        <f aca="false">IF(ISNUMBER(SEARCH("E0",$H84)),1,0)</f>
        <v>0</v>
      </c>
      <c r="T84" s="16" t="n">
        <f aca="false">IF(ISNUMBER(SEARCH("E1",$H84)),1,0)</f>
        <v>0</v>
      </c>
      <c r="U84" s="16" t="n">
        <f aca="false">IF(ISNUMBER(SEARCH("E2",$H84)),1,0)</f>
        <v>1</v>
      </c>
      <c r="V84" s="16" t="n">
        <f aca="false">IF(ISNUMBER(SEARCH("E3",$H84)),1,0)</f>
        <v>1</v>
      </c>
      <c r="W84" s="16" t="n">
        <f aca="false">IF(ISNUMBER(SEARCH("E4",$H84)),1,0)</f>
        <v>0</v>
      </c>
      <c r="X84" s="16" t="n">
        <f aca="false">IF(ISNUMBER(SEARCH("E5",$H84)),1,0)</f>
        <v>1</v>
      </c>
      <c r="Y84" s="16" t="n">
        <f aca="false">IF(ISNUMBER(SEARCH("E6",$H84)),1,0)</f>
        <v>0</v>
      </c>
      <c r="Z84" s="16" t="n">
        <f aca="false">IF(ISNUMBER(SEARCH("E7",$H84)),1,0)</f>
        <v>0</v>
      </c>
      <c r="AA84" s="16" t="n">
        <f aca="false">IF(ISNUMBER(SEARCH("E8",$H84)),1,0)</f>
        <v>0</v>
      </c>
      <c r="AB84" s="16" t="n">
        <f aca="false">IF(ISNUMBER(SEARCH("E9",$H84)),1,0)</f>
        <v>0</v>
      </c>
      <c r="AC84" s="16" t="n">
        <f aca="false">IF(ISNUMBER(SEARCH("TR",$H84)),1,0)</f>
        <v>0</v>
      </c>
      <c r="AD84" s="10" t="s">
        <v>604</v>
      </c>
      <c r="AE84" s="17" t="n">
        <f aca="false">IF(ISNUMBER(SEARCH("S0",$AD84)),1,0)</f>
        <v>0</v>
      </c>
      <c r="AF84" s="17" t="n">
        <f aca="false">IF(ISNUMBER(SEARCH("R01",$AD84)),1,0)</f>
        <v>0</v>
      </c>
      <c r="AG84" s="17" t="n">
        <f aca="false">IF(ISNUMBER(SEARCH("R02R03",$AD84)),1,0)</f>
        <v>1</v>
      </c>
      <c r="AH84" s="17" t="n">
        <f aca="false">IF(ISNUMBER(SEARCH("R04",$AD84)),1,0)</f>
        <v>1</v>
      </c>
      <c r="AI84" s="17" t="n">
        <f aca="false">IF(ISNUMBER(SEARCH("R05",$AD84)),1,0)</f>
        <v>0</v>
      </c>
      <c r="AJ84" s="17" t="n">
        <f aca="false">IF(ISNUMBER(SEARCH("S3R06",$AD84)),1,0)</f>
        <v>1</v>
      </c>
      <c r="AK84" s="17" t="n">
        <f aca="false">IF(ISNUMBER(SEARCH("R07",$AD84)),1,0)</f>
        <v>0</v>
      </c>
      <c r="AL84" s="17" t="n">
        <f aca="false">IF(ISNUMBER(SEARCH("R09",$AD84)),1,0)</f>
        <v>0</v>
      </c>
      <c r="AM84" s="17" t="n">
        <f aca="false">IF(ISNUMBER(SEARCH("R10",$AD84)),1,0)</f>
        <v>0</v>
      </c>
      <c r="AN84" s="17" t="n">
        <f aca="false">IF(ISNUMBER(SEARCH("S5",$AD84)),1,0)</f>
        <v>0</v>
      </c>
      <c r="AO84" s="17" t="n">
        <f aca="false">IF(ISNUMBER(SEARCH("S6",$AD84)),1,0)</f>
        <v>0</v>
      </c>
      <c r="AP84" s="17" t="n">
        <f aca="false">IF(ISNUMBER(SEARCH("TR",$AD84)),1,0)</f>
        <v>0</v>
      </c>
    </row>
    <row r="85" customFormat="false" ht="113.25" hidden="false" customHeight="true" outlineLevel="0" collapsed="false">
      <c r="A85" s="4" t="s">
        <v>605</v>
      </c>
      <c r="B85" s="4" t="s">
        <v>530</v>
      </c>
      <c r="C85" s="4" t="s">
        <v>531</v>
      </c>
      <c r="D85" s="4" t="s">
        <v>606</v>
      </c>
      <c r="E85" s="4" t="s">
        <v>83</v>
      </c>
      <c r="F85" s="4" t="s">
        <v>533</v>
      </c>
      <c r="G85" s="4" t="s">
        <v>92</v>
      </c>
      <c r="H85" s="4" t="s">
        <v>592</v>
      </c>
      <c r="I85" s="4" t="s">
        <v>68</v>
      </c>
      <c r="J85" s="4" t="s">
        <v>58</v>
      </c>
      <c r="K85" s="4" t="s">
        <v>198</v>
      </c>
      <c r="L85" s="4" t="s">
        <v>95</v>
      </c>
      <c r="M85" s="4" t="s">
        <v>49</v>
      </c>
      <c r="N85" s="4" t="s">
        <v>50</v>
      </c>
      <c r="O85" s="4" t="s">
        <v>607</v>
      </c>
      <c r="P85" s="4" t="s">
        <v>535</v>
      </c>
      <c r="Q85" s="4" t="s">
        <v>51</v>
      </c>
      <c r="R85" s="4" t="s">
        <v>608</v>
      </c>
      <c r="S85" s="16" t="n">
        <f aca="false">IF(ISNUMBER(SEARCH("E0",$H85)),1,0)</f>
        <v>0</v>
      </c>
      <c r="T85" s="16" t="n">
        <f aca="false">IF(ISNUMBER(SEARCH("E1",$H85)),1,0)</f>
        <v>0</v>
      </c>
      <c r="U85" s="16" t="n">
        <f aca="false">IF(ISNUMBER(SEARCH("E2",$H85)),1,0)</f>
        <v>0</v>
      </c>
      <c r="V85" s="16" t="n">
        <f aca="false">IF(ISNUMBER(SEARCH("E3",$H85)),1,0)</f>
        <v>1</v>
      </c>
      <c r="W85" s="16" t="n">
        <f aca="false">IF(ISNUMBER(SEARCH("E4",$H85)),1,0)</f>
        <v>0</v>
      </c>
      <c r="X85" s="16" t="n">
        <f aca="false">IF(ISNUMBER(SEARCH("E5",$H85)),1,0)</f>
        <v>1</v>
      </c>
      <c r="Y85" s="16" t="n">
        <f aca="false">IF(ISNUMBER(SEARCH("E6",$H85)),1,0)</f>
        <v>0</v>
      </c>
      <c r="Z85" s="16" t="n">
        <f aca="false">IF(ISNUMBER(SEARCH("E7",$H85)),1,0)</f>
        <v>0</v>
      </c>
      <c r="AA85" s="16" t="n">
        <f aca="false">IF(ISNUMBER(SEARCH("E8",$H85)),1,0)</f>
        <v>0</v>
      </c>
      <c r="AB85" s="16" t="n">
        <f aca="false">IF(ISNUMBER(SEARCH("E9",$H85)),1,0)</f>
        <v>0</v>
      </c>
      <c r="AC85" s="16" t="n">
        <f aca="false">IF(ISNUMBER(SEARCH("TR",$H85)),1,0)</f>
        <v>0</v>
      </c>
      <c r="AD85" s="10" t="s">
        <v>595</v>
      </c>
      <c r="AE85" s="17" t="n">
        <f aca="false">IF(ISNUMBER(SEARCH("S0",$AD85)),1,0)</f>
        <v>0</v>
      </c>
      <c r="AF85" s="17" t="n">
        <f aca="false">IF(ISNUMBER(SEARCH("R01",$AD85)),1,0)</f>
        <v>0</v>
      </c>
      <c r="AG85" s="17" t="n">
        <f aca="false">IF(ISNUMBER(SEARCH("R02R03",$AD85)),1,0)</f>
        <v>0</v>
      </c>
      <c r="AH85" s="17" t="n">
        <f aca="false">IF(ISNUMBER(SEARCH("R04",$AD85)),1,0)</f>
        <v>1</v>
      </c>
      <c r="AI85" s="17" t="n">
        <f aca="false">IF(ISNUMBER(SEARCH("R05",$AD85)),1,0)</f>
        <v>0</v>
      </c>
      <c r="AJ85" s="17" t="n">
        <f aca="false">IF(ISNUMBER(SEARCH("S3R06",$AD85)),1,0)</f>
        <v>1</v>
      </c>
      <c r="AK85" s="17" t="n">
        <f aca="false">IF(ISNUMBER(SEARCH("R07",$AD85)),1,0)</f>
        <v>0</v>
      </c>
      <c r="AL85" s="17" t="n">
        <f aca="false">IF(ISNUMBER(SEARCH("R09",$AD85)),1,0)</f>
        <v>0</v>
      </c>
      <c r="AM85" s="17" t="n">
        <f aca="false">IF(ISNUMBER(SEARCH("R10",$AD85)),1,0)</f>
        <v>0</v>
      </c>
      <c r="AN85" s="17" t="n">
        <f aca="false">IF(ISNUMBER(SEARCH("S5",$AD85)),1,0)</f>
        <v>0</v>
      </c>
      <c r="AO85" s="17" t="n">
        <f aca="false">IF(ISNUMBER(SEARCH("S6",$AD85)),1,0)</f>
        <v>0</v>
      </c>
      <c r="AP85" s="17" t="n">
        <f aca="false">IF(ISNUMBER(SEARCH("TR",$AD85)),1,0)</f>
        <v>0</v>
      </c>
    </row>
    <row r="86" customFormat="false" ht="113.25" hidden="false" customHeight="true" outlineLevel="0" collapsed="false">
      <c r="A86" s="4" t="s">
        <v>609</v>
      </c>
      <c r="B86" s="4" t="s">
        <v>530</v>
      </c>
      <c r="C86" s="4" t="s">
        <v>531</v>
      </c>
      <c r="D86" s="4" t="s">
        <v>610</v>
      </c>
      <c r="E86" s="4" t="s">
        <v>83</v>
      </c>
      <c r="F86" s="4" t="s">
        <v>533</v>
      </c>
      <c r="G86" s="4" t="s">
        <v>98</v>
      </c>
      <c r="H86" s="4" t="s">
        <v>150</v>
      </c>
      <c r="I86" s="4" t="s">
        <v>106</v>
      </c>
      <c r="J86" s="4" t="s">
        <v>58</v>
      </c>
      <c r="K86" s="4" t="s">
        <v>198</v>
      </c>
      <c r="L86" s="4" t="s">
        <v>95</v>
      </c>
      <c r="M86" s="4" t="s">
        <v>49</v>
      </c>
      <c r="N86" s="4" t="s">
        <v>50</v>
      </c>
      <c r="O86" s="4" t="s">
        <v>611</v>
      </c>
      <c r="P86" s="4" t="s">
        <v>535</v>
      </c>
      <c r="Q86" s="4" t="s">
        <v>51</v>
      </c>
      <c r="R86" s="4" t="s">
        <v>612</v>
      </c>
      <c r="S86" s="16" t="n">
        <f aca="false">IF(ISNUMBER(SEARCH("E0",$H86)),1,0)</f>
        <v>0</v>
      </c>
      <c r="T86" s="16" t="n">
        <f aca="false">IF(ISNUMBER(SEARCH("E1",$H86)),1,0)</f>
        <v>0</v>
      </c>
      <c r="U86" s="16" t="n">
        <f aca="false">IF(ISNUMBER(SEARCH("E2",$H86)),1,0)</f>
        <v>0</v>
      </c>
      <c r="V86" s="16" t="n">
        <f aca="false">IF(ISNUMBER(SEARCH("E3",$H86)),1,0)</f>
        <v>0</v>
      </c>
      <c r="W86" s="16" t="n">
        <f aca="false">IF(ISNUMBER(SEARCH("E4",$H86)),1,0)</f>
        <v>0</v>
      </c>
      <c r="X86" s="16" t="n">
        <f aca="false">IF(ISNUMBER(SEARCH("E5",$H86)),1,0)</f>
        <v>1</v>
      </c>
      <c r="Y86" s="16" t="n">
        <f aca="false">IF(ISNUMBER(SEARCH("E6",$H86)),1,0)</f>
        <v>0</v>
      </c>
      <c r="Z86" s="16" t="n">
        <f aca="false">IF(ISNUMBER(SEARCH("E7",$H86)),1,0)</f>
        <v>0</v>
      </c>
      <c r="AA86" s="16" t="n">
        <f aca="false">IF(ISNUMBER(SEARCH("E8",$H86)),1,0)</f>
        <v>0</v>
      </c>
      <c r="AB86" s="16" t="n">
        <f aca="false">IF(ISNUMBER(SEARCH("E9",$H86)),1,0)</f>
        <v>0</v>
      </c>
      <c r="AC86" s="16" t="n">
        <f aca="false">IF(ISNUMBER(SEARCH("TR",$H86)),1,0)</f>
        <v>0</v>
      </c>
      <c r="AD86" s="10" t="s">
        <v>613</v>
      </c>
      <c r="AE86" s="17" t="n">
        <f aca="false">IF(ISNUMBER(SEARCH("S0",$AD86)),1,0)</f>
        <v>0</v>
      </c>
      <c r="AF86" s="17" t="n">
        <f aca="false">IF(ISNUMBER(SEARCH("R01",$AD86)),1,0)</f>
        <v>0</v>
      </c>
      <c r="AG86" s="17" t="n">
        <f aca="false">IF(ISNUMBER(SEARCH("R02R03",$AD86)),1,0)</f>
        <v>0</v>
      </c>
      <c r="AH86" s="17" t="n">
        <f aca="false">IF(ISNUMBER(SEARCH("R04",$AD86)),1,0)</f>
        <v>0</v>
      </c>
      <c r="AI86" s="17" t="n">
        <f aca="false">IF(ISNUMBER(SEARCH("R05",$AD86)),1,0)</f>
        <v>0</v>
      </c>
      <c r="AJ86" s="17" t="n">
        <f aca="false">IF(ISNUMBER(SEARCH("S3R06",$AD86)),1,0)</f>
        <v>1</v>
      </c>
      <c r="AK86" s="17" t="n">
        <f aca="false">IF(ISNUMBER(SEARCH("R07",$AD86)),1,0)</f>
        <v>0</v>
      </c>
      <c r="AL86" s="17" t="n">
        <f aca="false">IF(ISNUMBER(SEARCH("R09",$AD86)),1,0)</f>
        <v>0</v>
      </c>
      <c r="AM86" s="17" t="n">
        <f aca="false">IF(ISNUMBER(SEARCH("R10",$AD86)),1,0)</f>
        <v>0</v>
      </c>
      <c r="AN86" s="17" t="n">
        <f aca="false">IF(ISNUMBER(SEARCH("S5",$AD86)),1,0)</f>
        <v>0</v>
      </c>
      <c r="AO86" s="17" t="n">
        <f aca="false">IF(ISNUMBER(SEARCH("S6",$AD86)),1,0)</f>
        <v>0</v>
      </c>
      <c r="AP86" s="17" t="n">
        <f aca="false">IF(ISNUMBER(SEARCH("TR",$AD86)),1,0)</f>
        <v>0</v>
      </c>
    </row>
    <row r="87" customFormat="false" ht="113.25" hidden="false" customHeight="true" outlineLevel="0" collapsed="false">
      <c r="A87" s="4" t="s">
        <v>614</v>
      </c>
      <c r="B87" s="4" t="s">
        <v>530</v>
      </c>
      <c r="C87" s="4" t="s">
        <v>531</v>
      </c>
      <c r="D87" s="4" t="s">
        <v>615</v>
      </c>
      <c r="E87" s="4" t="s">
        <v>83</v>
      </c>
      <c r="F87" s="4" t="s">
        <v>533</v>
      </c>
      <c r="G87" s="4" t="s">
        <v>45</v>
      </c>
      <c r="H87" s="4" t="s">
        <v>161</v>
      </c>
      <c r="I87" s="4" t="s">
        <v>114</v>
      </c>
      <c r="J87" s="4" t="s">
        <v>47</v>
      </c>
      <c r="K87" s="4" t="s">
        <v>198</v>
      </c>
      <c r="L87" s="4" t="s">
        <v>95</v>
      </c>
      <c r="M87" s="4" t="s">
        <v>49</v>
      </c>
      <c r="N87" s="4" t="s">
        <v>61</v>
      </c>
      <c r="O87" s="4" t="s">
        <v>616</v>
      </c>
      <c r="P87" s="4" t="s">
        <v>535</v>
      </c>
      <c r="Q87" s="4" t="s">
        <v>51</v>
      </c>
      <c r="R87" s="4" t="s">
        <v>617</v>
      </c>
      <c r="S87" s="16" t="n">
        <f aca="false">IF(ISNUMBER(SEARCH("E0",$H87)),1,0)</f>
        <v>0</v>
      </c>
      <c r="T87" s="16" t="n">
        <f aca="false">IF(ISNUMBER(SEARCH("E1",$H87)),1,0)</f>
        <v>0</v>
      </c>
      <c r="U87" s="16" t="n">
        <f aca="false">IF(ISNUMBER(SEARCH("E2",$H87)),1,0)</f>
        <v>0</v>
      </c>
      <c r="V87" s="16" t="n">
        <f aca="false">IF(ISNUMBER(SEARCH("E3",$H87)),1,0)</f>
        <v>0</v>
      </c>
      <c r="W87" s="16" t="n">
        <f aca="false">IF(ISNUMBER(SEARCH("E4",$H87)),1,0)</f>
        <v>0</v>
      </c>
      <c r="X87" s="16" t="n">
        <f aca="false">IF(ISNUMBER(SEARCH("E5",$H87)),1,0)</f>
        <v>0</v>
      </c>
      <c r="Y87" s="16" t="n">
        <f aca="false">IF(ISNUMBER(SEARCH("E6",$H87)),1,0)</f>
        <v>0</v>
      </c>
      <c r="Z87" s="16" t="n">
        <f aca="false">IF(ISNUMBER(SEARCH("E7",$H87)),1,0)</f>
        <v>0</v>
      </c>
      <c r="AA87" s="16" t="n">
        <f aca="false">IF(ISNUMBER(SEARCH("E8",$H87)),1,0)</f>
        <v>0</v>
      </c>
      <c r="AB87" s="16" t="n">
        <f aca="false">IF(ISNUMBER(SEARCH("E9",$H87)),1,0)</f>
        <v>0</v>
      </c>
      <c r="AC87" s="16" t="n">
        <f aca="false">IF(ISNUMBER(SEARCH("TR",$H87)),1,0)</f>
        <v>1</v>
      </c>
      <c r="AD87" s="10" t="s">
        <v>161</v>
      </c>
      <c r="AE87" s="17" t="n">
        <f aca="false">IF(ISNUMBER(SEARCH("S0",$AD87)),1,0)</f>
        <v>0</v>
      </c>
      <c r="AF87" s="17" t="n">
        <f aca="false">IF(ISNUMBER(SEARCH("R01",$AD87)),1,0)</f>
        <v>0</v>
      </c>
      <c r="AG87" s="17" t="n">
        <f aca="false">IF(ISNUMBER(SEARCH("R02R03",$AD87)),1,0)</f>
        <v>0</v>
      </c>
      <c r="AH87" s="17" t="n">
        <f aca="false">IF(ISNUMBER(SEARCH("R04",$AD87)),1,0)</f>
        <v>0</v>
      </c>
      <c r="AI87" s="17" t="n">
        <f aca="false">IF(ISNUMBER(SEARCH("R05",$AD87)),1,0)</f>
        <v>0</v>
      </c>
      <c r="AJ87" s="17" t="n">
        <f aca="false">IF(ISNUMBER(SEARCH("S3R06",$AD87)),1,0)</f>
        <v>0</v>
      </c>
      <c r="AK87" s="17" t="n">
        <f aca="false">IF(ISNUMBER(SEARCH("R07",$AD87)),1,0)</f>
        <v>0</v>
      </c>
      <c r="AL87" s="17" t="n">
        <f aca="false">IF(ISNUMBER(SEARCH("R09",$AD87)),1,0)</f>
        <v>0</v>
      </c>
      <c r="AM87" s="17" t="n">
        <f aca="false">IF(ISNUMBER(SEARCH("R10",$AD87)),1,0)</f>
        <v>0</v>
      </c>
      <c r="AN87" s="17" t="n">
        <f aca="false">IF(ISNUMBER(SEARCH("S5",$AD87)),1,0)</f>
        <v>0</v>
      </c>
      <c r="AO87" s="17" t="n">
        <f aca="false">IF(ISNUMBER(SEARCH("S6",$AD87)),1,0)</f>
        <v>0</v>
      </c>
      <c r="AP87" s="17" t="n">
        <f aca="false">IF(ISNUMBER(SEARCH("TR",$AD87)),1,0)</f>
        <v>1</v>
      </c>
    </row>
    <row r="88" customFormat="false" ht="113.25" hidden="false" customHeight="true" outlineLevel="0" collapsed="false">
      <c r="A88" s="4" t="s">
        <v>618</v>
      </c>
      <c r="B88" s="4" t="s">
        <v>530</v>
      </c>
      <c r="C88" s="4" t="s">
        <v>531</v>
      </c>
      <c r="D88" s="4" t="s">
        <v>619</v>
      </c>
      <c r="E88" s="4" t="s">
        <v>83</v>
      </c>
      <c r="F88" s="4" t="s">
        <v>533</v>
      </c>
      <c r="G88" s="4" t="s">
        <v>56</v>
      </c>
      <c r="H88" s="4" t="s">
        <v>161</v>
      </c>
      <c r="I88" s="4" t="s">
        <v>114</v>
      </c>
      <c r="J88" s="4" t="s">
        <v>86</v>
      </c>
      <c r="K88" s="4" t="s">
        <v>198</v>
      </c>
      <c r="L88" s="4" t="s">
        <v>95</v>
      </c>
      <c r="M88" s="4" t="s">
        <v>49</v>
      </c>
      <c r="N88" s="4" t="s">
        <v>50</v>
      </c>
      <c r="O88" s="4" t="s">
        <v>620</v>
      </c>
      <c r="P88" s="4" t="s">
        <v>535</v>
      </c>
      <c r="Q88" s="4" t="s">
        <v>51</v>
      </c>
      <c r="R88" s="4" t="s">
        <v>621</v>
      </c>
      <c r="S88" s="16" t="n">
        <f aca="false">IF(ISNUMBER(SEARCH("E0",$H88)),1,0)</f>
        <v>0</v>
      </c>
      <c r="T88" s="16" t="n">
        <f aca="false">IF(ISNUMBER(SEARCH("E1",$H88)),1,0)</f>
        <v>0</v>
      </c>
      <c r="U88" s="16" t="n">
        <f aca="false">IF(ISNUMBER(SEARCH("E2",$H88)),1,0)</f>
        <v>0</v>
      </c>
      <c r="V88" s="16" t="n">
        <f aca="false">IF(ISNUMBER(SEARCH("E3",$H88)),1,0)</f>
        <v>0</v>
      </c>
      <c r="W88" s="16" t="n">
        <f aca="false">IF(ISNUMBER(SEARCH("E4",$H88)),1,0)</f>
        <v>0</v>
      </c>
      <c r="X88" s="16" t="n">
        <f aca="false">IF(ISNUMBER(SEARCH("E5",$H88)),1,0)</f>
        <v>0</v>
      </c>
      <c r="Y88" s="16" t="n">
        <f aca="false">IF(ISNUMBER(SEARCH("E6",$H88)),1,0)</f>
        <v>0</v>
      </c>
      <c r="Z88" s="16" t="n">
        <f aca="false">IF(ISNUMBER(SEARCH("E7",$H88)),1,0)</f>
        <v>0</v>
      </c>
      <c r="AA88" s="16" t="n">
        <f aca="false">IF(ISNUMBER(SEARCH("E8",$H88)),1,0)</f>
        <v>0</v>
      </c>
      <c r="AB88" s="16" t="n">
        <f aca="false">IF(ISNUMBER(SEARCH("E9",$H88)),1,0)</f>
        <v>0</v>
      </c>
      <c r="AC88" s="16" t="n">
        <f aca="false">IF(ISNUMBER(SEARCH("TR",$H88)),1,0)</f>
        <v>1</v>
      </c>
      <c r="AD88" s="10" t="s">
        <v>161</v>
      </c>
      <c r="AE88" s="17" t="n">
        <f aca="false">IF(ISNUMBER(SEARCH("S0",$AD88)),1,0)</f>
        <v>0</v>
      </c>
      <c r="AF88" s="17" t="n">
        <f aca="false">IF(ISNUMBER(SEARCH("R01",$AD88)),1,0)</f>
        <v>0</v>
      </c>
      <c r="AG88" s="17" t="n">
        <f aca="false">IF(ISNUMBER(SEARCH("R02R03",$AD88)),1,0)</f>
        <v>0</v>
      </c>
      <c r="AH88" s="17" t="n">
        <f aca="false">IF(ISNUMBER(SEARCH("R04",$AD88)),1,0)</f>
        <v>0</v>
      </c>
      <c r="AI88" s="17" t="n">
        <f aca="false">IF(ISNUMBER(SEARCH("R05",$AD88)),1,0)</f>
        <v>0</v>
      </c>
      <c r="AJ88" s="17" t="n">
        <f aca="false">IF(ISNUMBER(SEARCH("S3R06",$AD88)),1,0)</f>
        <v>0</v>
      </c>
      <c r="AK88" s="17" t="n">
        <f aca="false">IF(ISNUMBER(SEARCH("R07",$AD88)),1,0)</f>
        <v>0</v>
      </c>
      <c r="AL88" s="17" t="n">
        <f aca="false">IF(ISNUMBER(SEARCH("R09",$AD88)),1,0)</f>
        <v>0</v>
      </c>
      <c r="AM88" s="17" t="n">
        <f aca="false">IF(ISNUMBER(SEARCH("R10",$AD88)),1,0)</f>
        <v>0</v>
      </c>
      <c r="AN88" s="17" t="n">
        <f aca="false">IF(ISNUMBER(SEARCH("S5",$AD88)),1,0)</f>
        <v>0</v>
      </c>
      <c r="AO88" s="17" t="n">
        <f aca="false">IF(ISNUMBER(SEARCH("S6",$AD88)),1,0)</f>
        <v>0</v>
      </c>
      <c r="AP88" s="17" t="n">
        <f aca="false">IF(ISNUMBER(SEARCH("TR",$AD88)),1,0)</f>
        <v>1</v>
      </c>
    </row>
    <row r="89" customFormat="false" ht="113.25" hidden="false" customHeight="true" outlineLevel="0" collapsed="false">
      <c r="A89" s="4" t="s">
        <v>622</v>
      </c>
      <c r="B89" s="4" t="s">
        <v>530</v>
      </c>
      <c r="C89" s="4" t="s">
        <v>531</v>
      </c>
      <c r="D89" s="4" t="s">
        <v>623</v>
      </c>
      <c r="E89" s="4" t="s">
        <v>83</v>
      </c>
      <c r="F89" s="4" t="s">
        <v>533</v>
      </c>
      <c r="G89" s="4" t="s">
        <v>92</v>
      </c>
      <c r="H89" s="4" t="s">
        <v>161</v>
      </c>
      <c r="I89" s="4" t="s">
        <v>111</v>
      </c>
      <c r="J89" s="4" t="s">
        <v>100</v>
      </c>
      <c r="K89" s="4" t="s">
        <v>198</v>
      </c>
      <c r="L89" s="4" t="s">
        <v>95</v>
      </c>
      <c r="M89" s="4" t="s">
        <v>49</v>
      </c>
      <c r="N89" s="4" t="s">
        <v>61</v>
      </c>
      <c r="O89" s="4" t="s">
        <v>624</v>
      </c>
      <c r="P89" s="4" t="s">
        <v>535</v>
      </c>
      <c r="Q89" s="4" t="s">
        <v>51</v>
      </c>
      <c r="R89" s="4" t="s">
        <v>625</v>
      </c>
      <c r="S89" s="16" t="n">
        <f aca="false">IF(ISNUMBER(SEARCH("E0",$H89)),1,0)</f>
        <v>0</v>
      </c>
      <c r="T89" s="16" t="n">
        <f aca="false">IF(ISNUMBER(SEARCH("E1",$H89)),1,0)</f>
        <v>0</v>
      </c>
      <c r="U89" s="16" t="n">
        <f aca="false">IF(ISNUMBER(SEARCH("E2",$H89)),1,0)</f>
        <v>0</v>
      </c>
      <c r="V89" s="16" t="n">
        <f aca="false">IF(ISNUMBER(SEARCH("E3",$H89)),1,0)</f>
        <v>0</v>
      </c>
      <c r="W89" s="16" t="n">
        <f aca="false">IF(ISNUMBER(SEARCH("E4",$H89)),1,0)</f>
        <v>0</v>
      </c>
      <c r="X89" s="16" t="n">
        <f aca="false">IF(ISNUMBER(SEARCH("E5",$H89)),1,0)</f>
        <v>0</v>
      </c>
      <c r="Y89" s="16" t="n">
        <f aca="false">IF(ISNUMBER(SEARCH("E6",$H89)),1,0)</f>
        <v>0</v>
      </c>
      <c r="Z89" s="16" t="n">
        <f aca="false">IF(ISNUMBER(SEARCH("E7",$H89)),1,0)</f>
        <v>0</v>
      </c>
      <c r="AA89" s="16" t="n">
        <f aca="false">IF(ISNUMBER(SEARCH("E8",$H89)),1,0)</f>
        <v>0</v>
      </c>
      <c r="AB89" s="16" t="n">
        <f aca="false">IF(ISNUMBER(SEARCH("E9",$H89)),1,0)</f>
        <v>0</v>
      </c>
      <c r="AC89" s="16" t="n">
        <f aca="false">IF(ISNUMBER(SEARCH("TR",$H89)),1,0)</f>
        <v>1</v>
      </c>
      <c r="AD89" s="10" t="s">
        <v>161</v>
      </c>
      <c r="AE89" s="17" t="n">
        <f aca="false">IF(ISNUMBER(SEARCH("S0",$AD89)),1,0)</f>
        <v>0</v>
      </c>
      <c r="AF89" s="17" t="n">
        <f aca="false">IF(ISNUMBER(SEARCH("R01",$AD89)),1,0)</f>
        <v>0</v>
      </c>
      <c r="AG89" s="17" t="n">
        <f aca="false">IF(ISNUMBER(SEARCH("R02R03",$AD89)),1,0)</f>
        <v>0</v>
      </c>
      <c r="AH89" s="17" t="n">
        <f aca="false">IF(ISNUMBER(SEARCH("R04",$AD89)),1,0)</f>
        <v>0</v>
      </c>
      <c r="AI89" s="17" t="n">
        <f aca="false">IF(ISNUMBER(SEARCH("R05",$AD89)),1,0)</f>
        <v>0</v>
      </c>
      <c r="AJ89" s="17" t="n">
        <f aca="false">IF(ISNUMBER(SEARCH("S3R06",$AD89)),1,0)</f>
        <v>0</v>
      </c>
      <c r="AK89" s="17" t="n">
        <f aca="false">IF(ISNUMBER(SEARCH("R07",$AD89)),1,0)</f>
        <v>0</v>
      </c>
      <c r="AL89" s="17" t="n">
        <f aca="false">IF(ISNUMBER(SEARCH("R09",$AD89)),1,0)</f>
        <v>0</v>
      </c>
      <c r="AM89" s="17" t="n">
        <f aca="false">IF(ISNUMBER(SEARCH("R10",$AD89)),1,0)</f>
        <v>0</v>
      </c>
      <c r="AN89" s="17" t="n">
        <f aca="false">IF(ISNUMBER(SEARCH("S5",$AD89)),1,0)</f>
        <v>0</v>
      </c>
      <c r="AO89" s="17" t="n">
        <f aca="false">IF(ISNUMBER(SEARCH("S6",$AD89)),1,0)</f>
        <v>0</v>
      </c>
      <c r="AP89" s="17" t="n">
        <f aca="false">IF(ISNUMBER(SEARCH("TR",$AD89)),1,0)</f>
        <v>1</v>
      </c>
    </row>
    <row r="90" customFormat="false" ht="113.25" hidden="false" customHeight="true" outlineLevel="0" collapsed="false">
      <c r="A90" s="4" t="s">
        <v>626</v>
      </c>
      <c r="B90" s="4" t="s">
        <v>530</v>
      </c>
      <c r="C90" s="4" t="s">
        <v>531</v>
      </c>
      <c r="D90" s="4" t="s">
        <v>627</v>
      </c>
      <c r="E90" s="4" t="s">
        <v>83</v>
      </c>
      <c r="F90" s="4" t="s">
        <v>533</v>
      </c>
      <c r="G90" s="4" t="s">
        <v>76</v>
      </c>
      <c r="H90" s="4" t="s">
        <v>139</v>
      </c>
      <c r="I90" s="4" t="s">
        <v>93</v>
      </c>
      <c r="J90" s="4" t="s">
        <v>58</v>
      </c>
      <c r="K90" s="4" t="s">
        <v>198</v>
      </c>
      <c r="L90" s="4" t="s">
        <v>48</v>
      </c>
      <c r="M90" s="4" t="s">
        <v>49</v>
      </c>
      <c r="N90" s="4" t="s">
        <v>50</v>
      </c>
      <c r="O90" s="4" t="s">
        <v>628</v>
      </c>
      <c r="P90" s="4" t="s">
        <v>535</v>
      </c>
      <c r="Q90" s="4" t="s">
        <v>51</v>
      </c>
      <c r="R90" s="4" t="s">
        <v>629</v>
      </c>
      <c r="S90" s="16" t="n">
        <f aca="false">IF(ISNUMBER(SEARCH("E0",$H90)),1,0)</f>
        <v>1</v>
      </c>
      <c r="T90" s="16" t="n">
        <f aca="false">IF(ISNUMBER(SEARCH("E1",$H90)),1,0)</f>
        <v>0</v>
      </c>
      <c r="U90" s="16" t="n">
        <f aca="false">IF(ISNUMBER(SEARCH("E2",$H90)),1,0)</f>
        <v>0</v>
      </c>
      <c r="V90" s="16" t="n">
        <f aca="false">IF(ISNUMBER(SEARCH("E3",$H90)),1,0)</f>
        <v>0</v>
      </c>
      <c r="W90" s="16" t="n">
        <f aca="false">IF(ISNUMBER(SEARCH("E4",$H90)),1,0)</f>
        <v>0</v>
      </c>
      <c r="X90" s="16" t="n">
        <f aca="false">IF(ISNUMBER(SEARCH("E5",$H90)),1,0)</f>
        <v>0</v>
      </c>
      <c r="Y90" s="16" t="n">
        <f aca="false">IF(ISNUMBER(SEARCH("E6",$H90)),1,0)</f>
        <v>0</v>
      </c>
      <c r="Z90" s="16" t="n">
        <f aca="false">IF(ISNUMBER(SEARCH("E7",$H90)),1,0)</f>
        <v>0</v>
      </c>
      <c r="AA90" s="16" t="n">
        <f aca="false">IF(ISNUMBER(SEARCH("E8",$H90)),1,0)</f>
        <v>0</v>
      </c>
      <c r="AB90" s="16" t="n">
        <f aca="false">IF(ISNUMBER(SEARCH("E9",$H90)),1,0)</f>
        <v>0</v>
      </c>
      <c r="AC90" s="16" t="n">
        <f aca="false">IF(ISNUMBER(SEARCH("TR",$H90)),1,0)</f>
        <v>0</v>
      </c>
      <c r="AD90" s="10" t="s">
        <v>182</v>
      </c>
      <c r="AE90" s="17" t="n">
        <f aca="false">IF(ISNUMBER(SEARCH("S0",$AD90)),1,0)</f>
        <v>1</v>
      </c>
      <c r="AF90" s="17" t="n">
        <f aca="false">IF(ISNUMBER(SEARCH("R01",$AD90)),1,0)</f>
        <v>0</v>
      </c>
      <c r="AG90" s="17" t="n">
        <f aca="false">IF(ISNUMBER(SEARCH("R02R03",$AD90)),1,0)</f>
        <v>0</v>
      </c>
      <c r="AH90" s="17" t="n">
        <f aca="false">IF(ISNUMBER(SEARCH("R04",$AD90)),1,0)</f>
        <v>0</v>
      </c>
      <c r="AI90" s="17" t="n">
        <f aca="false">IF(ISNUMBER(SEARCH("R05",$AD90)),1,0)</f>
        <v>0</v>
      </c>
      <c r="AJ90" s="17" t="n">
        <f aca="false">IF(ISNUMBER(SEARCH("S3R06",$AD90)),1,0)</f>
        <v>0</v>
      </c>
      <c r="AK90" s="17" t="n">
        <f aca="false">IF(ISNUMBER(SEARCH("R07",$AD90)),1,0)</f>
        <v>0</v>
      </c>
      <c r="AL90" s="17" t="n">
        <f aca="false">IF(ISNUMBER(SEARCH("R09",$AD90)),1,0)</f>
        <v>0</v>
      </c>
      <c r="AM90" s="17" t="n">
        <f aca="false">IF(ISNUMBER(SEARCH("R10",$AD90)),1,0)</f>
        <v>0</v>
      </c>
      <c r="AN90" s="17" t="n">
        <f aca="false">IF(ISNUMBER(SEARCH("S5",$AD90)),1,0)</f>
        <v>0</v>
      </c>
      <c r="AO90" s="17" t="n">
        <f aca="false">IF(ISNUMBER(SEARCH("S6",$AD90)),1,0)</f>
        <v>0</v>
      </c>
      <c r="AP90" s="17" t="n">
        <f aca="false">IF(ISNUMBER(SEARCH("TR",$AD90)),1,0)</f>
        <v>0</v>
      </c>
    </row>
    <row r="91" customFormat="false" ht="90.75" hidden="false" customHeight="true" outlineLevel="0" collapsed="false">
      <c r="A91" s="4" t="s">
        <v>630</v>
      </c>
      <c r="B91" s="4" t="s">
        <v>530</v>
      </c>
      <c r="C91" s="4" t="s">
        <v>631</v>
      </c>
      <c r="D91" s="4" t="s">
        <v>632</v>
      </c>
      <c r="E91" s="4" t="s">
        <v>83</v>
      </c>
      <c r="F91" s="4" t="s">
        <v>633</v>
      </c>
      <c r="G91" s="4" t="s">
        <v>92</v>
      </c>
      <c r="H91" s="4" t="s">
        <v>156</v>
      </c>
      <c r="I91" s="4" t="s">
        <v>99</v>
      </c>
      <c r="J91" s="4" t="s">
        <v>78</v>
      </c>
      <c r="K91" s="4" t="s">
        <v>198</v>
      </c>
      <c r="L91" s="4" t="s">
        <v>95</v>
      </c>
      <c r="M91" s="4" t="s">
        <v>49</v>
      </c>
      <c r="N91" s="4" t="s">
        <v>50</v>
      </c>
      <c r="O91" s="4" t="s">
        <v>634</v>
      </c>
      <c r="P91" s="4" t="s">
        <v>635</v>
      </c>
      <c r="Q91" s="4" t="s">
        <v>51</v>
      </c>
      <c r="R91" s="4" t="s">
        <v>636</v>
      </c>
      <c r="S91" s="16" t="n">
        <f aca="false">IF(ISNUMBER(SEARCH("E0",$H91)),1,0)</f>
        <v>0</v>
      </c>
      <c r="T91" s="16" t="n">
        <f aca="false">IF(ISNUMBER(SEARCH("E1",$H91)),1,0)</f>
        <v>0</v>
      </c>
      <c r="U91" s="16" t="n">
        <f aca="false">IF(ISNUMBER(SEARCH("E2",$H91)),1,0)</f>
        <v>0</v>
      </c>
      <c r="V91" s="16" t="n">
        <f aca="false">IF(ISNUMBER(SEARCH("E3",$H91)),1,0)</f>
        <v>0</v>
      </c>
      <c r="W91" s="16" t="n">
        <f aca="false">IF(ISNUMBER(SEARCH("E4",$H91)),1,0)</f>
        <v>0</v>
      </c>
      <c r="X91" s="16" t="n">
        <f aca="false">IF(ISNUMBER(SEARCH("E5",$H91)),1,0)</f>
        <v>0</v>
      </c>
      <c r="Y91" s="16" t="n">
        <f aca="false">IF(ISNUMBER(SEARCH("E6",$H91)),1,0)</f>
        <v>0</v>
      </c>
      <c r="Z91" s="16" t="n">
        <f aca="false">IF(ISNUMBER(SEARCH("E7",$H91)),1,0)</f>
        <v>0</v>
      </c>
      <c r="AA91" s="16" t="n">
        <f aca="false">IF(ISNUMBER(SEARCH("E8",$H91)),1,0)</f>
        <v>1</v>
      </c>
      <c r="AB91" s="16" t="n">
        <f aca="false">IF(ISNUMBER(SEARCH("E9",$H91)),1,0)</f>
        <v>0</v>
      </c>
      <c r="AC91" s="16" t="n">
        <f aca="false">IF(ISNUMBER(SEARCH("TR",$H91)),1,0)</f>
        <v>0</v>
      </c>
      <c r="AD91" s="10" t="s">
        <v>191</v>
      </c>
      <c r="AE91" s="17" t="n">
        <f aca="false">IF(ISNUMBER(SEARCH("S0",$AD91)),1,0)</f>
        <v>0</v>
      </c>
      <c r="AF91" s="17" t="n">
        <f aca="false">IF(ISNUMBER(SEARCH("R01",$AD91)),1,0)</f>
        <v>0</v>
      </c>
      <c r="AG91" s="17" t="n">
        <f aca="false">IF(ISNUMBER(SEARCH("R02R03",$AD91)),1,0)</f>
        <v>0</v>
      </c>
      <c r="AH91" s="17" t="n">
        <f aca="false">IF(ISNUMBER(SEARCH("R04",$AD91)),1,0)</f>
        <v>0</v>
      </c>
      <c r="AI91" s="17" t="n">
        <f aca="false">IF(ISNUMBER(SEARCH("R05",$AD91)),1,0)</f>
        <v>0</v>
      </c>
      <c r="AJ91" s="17" t="n">
        <f aca="false">IF(ISNUMBER(SEARCH("S3R06",$AD91)),1,0)</f>
        <v>0</v>
      </c>
      <c r="AK91" s="17" t="n">
        <f aca="false">IF(ISNUMBER(SEARCH("R07",$AD91)),1,0)</f>
        <v>0</v>
      </c>
      <c r="AL91" s="17" t="n">
        <f aca="false">IF(ISNUMBER(SEARCH("R09",$AD91)),1,0)</f>
        <v>0</v>
      </c>
      <c r="AM91" s="17" t="n">
        <f aca="false">IF(ISNUMBER(SEARCH("R10",$AD91)),1,0)</f>
        <v>0</v>
      </c>
      <c r="AN91" s="17" t="n">
        <f aca="false">IF(ISNUMBER(SEARCH("S5",$AD91)),1,0)</f>
        <v>1</v>
      </c>
      <c r="AO91" s="17" t="n">
        <f aca="false">IF(ISNUMBER(SEARCH("S6",$AD91)),1,0)</f>
        <v>0</v>
      </c>
      <c r="AP91" s="17" t="n">
        <f aca="false">IF(ISNUMBER(SEARCH("TR",$AD91)),1,0)</f>
        <v>0</v>
      </c>
    </row>
    <row r="92" customFormat="false" ht="90.75" hidden="false" customHeight="true" outlineLevel="0" collapsed="false">
      <c r="A92" s="4" t="s">
        <v>637</v>
      </c>
      <c r="B92" s="4" t="s">
        <v>530</v>
      </c>
      <c r="C92" s="4" t="s">
        <v>631</v>
      </c>
      <c r="D92" s="4" t="s">
        <v>638</v>
      </c>
      <c r="E92" s="4" t="s">
        <v>83</v>
      </c>
      <c r="F92" s="4" t="s">
        <v>633</v>
      </c>
      <c r="G92" s="4" t="s">
        <v>84</v>
      </c>
      <c r="H92" s="4" t="s">
        <v>156</v>
      </c>
      <c r="I92" s="4" t="s">
        <v>77</v>
      </c>
      <c r="J92" s="4" t="s">
        <v>78</v>
      </c>
      <c r="K92" s="4" t="s">
        <v>198</v>
      </c>
      <c r="L92" s="4" t="s">
        <v>95</v>
      </c>
      <c r="M92" s="4" t="s">
        <v>49</v>
      </c>
      <c r="N92" s="4" t="s">
        <v>50</v>
      </c>
      <c r="O92" s="4" t="s">
        <v>639</v>
      </c>
      <c r="P92" s="4" t="s">
        <v>635</v>
      </c>
      <c r="Q92" s="4" t="s">
        <v>51</v>
      </c>
      <c r="R92" s="4" t="s">
        <v>640</v>
      </c>
      <c r="S92" s="16" t="n">
        <f aca="false">IF(ISNUMBER(SEARCH("E0",$H92)),1,0)</f>
        <v>0</v>
      </c>
      <c r="T92" s="16" t="n">
        <f aca="false">IF(ISNUMBER(SEARCH("E1",$H92)),1,0)</f>
        <v>0</v>
      </c>
      <c r="U92" s="16" t="n">
        <f aca="false">IF(ISNUMBER(SEARCH("E2",$H92)),1,0)</f>
        <v>0</v>
      </c>
      <c r="V92" s="16" t="n">
        <f aca="false">IF(ISNUMBER(SEARCH("E3",$H92)),1,0)</f>
        <v>0</v>
      </c>
      <c r="W92" s="16" t="n">
        <f aca="false">IF(ISNUMBER(SEARCH("E4",$H92)),1,0)</f>
        <v>0</v>
      </c>
      <c r="X92" s="16" t="n">
        <f aca="false">IF(ISNUMBER(SEARCH("E5",$H92)),1,0)</f>
        <v>0</v>
      </c>
      <c r="Y92" s="16" t="n">
        <f aca="false">IF(ISNUMBER(SEARCH("E6",$H92)),1,0)</f>
        <v>0</v>
      </c>
      <c r="Z92" s="16" t="n">
        <f aca="false">IF(ISNUMBER(SEARCH("E7",$H92)),1,0)</f>
        <v>0</v>
      </c>
      <c r="AA92" s="16" t="n">
        <f aca="false">IF(ISNUMBER(SEARCH("E8",$H92)),1,0)</f>
        <v>1</v>
      </c>
      <c r="AB92" s="16" t="n">
        <f aca="false">IF(ISNUMBER(SEARCH("E9",$H92)),1,0)</f>
        <v>0</v>
      </c>
      <c r="AC92" s="16" t="n">
        <f aca="false">IF(ISNUMBER(SEARCH("TR",$H92)),1,0)</f>
        <v>0</v>
      </c>
      <c r="AD92" s="10" t="s">
        <v>191</v>
      </c>
      <c r="AE92" s="17" t="n">
        <f aca="false">IF(ISNUMBER(SEARCH("S0",$AD92)),1,0)</f>
        <v>0</v>
      </c>
      <c r="AF92" s="17" t="n">
        <f aca="false">IF(ISNUMBER(SEARCH("R01",$AD92)),1,0)</f>
        <v>0</v>
      </c>
      <c r="AG92" s="17" t="n">
        <f aca="false">IF(ISNUMBER(SEARCH("R02R03",$AD92)),1,0)</f>
        <v>0</v>
      </c>
      <c r="AH92" s="17" t="n">
        <f aca="false">IF(ISNUMBER(SEARCH("R04",$AD92)),1,0)</f>
        <v>0</v>
      </c>
      <c r="AI92" s="17" t="n">
        <f aca="false">IF(ISNUMBER(SEARCH("R05",$AD92)),1,0)</f>
        <v>0</v>
      </c>
      <c r="AJ92" s="17" t="n">
        <f aca="false">IF(ISNUMBER(SEARCH("S3R06",$AD92)),1,0)</f>
        <v>0</v>
      </c>
      <c r="AK92" s="17" t="n">
        <f aca="false">IF(ISNUMBER(SEARCH("R07",$AD92)),1,0)</f>
        <v>0</v>
      </c>
      <c r="AL92" s="17" t="n">
        <f aca="false">IF(ISNUMBER(SEARCH("R09",$AD92)),1,0)</f>
        <v>0</v>
      </c>
      <c r="AM92" s="17" t="n">
        <f aca="false">IF(ISNUMBER(SEARCH("R10",$AD92)),1,0)</f>
        <v>0</v>
      </c>
      <c r="AN92" s="17" t="n">
        <f aca="false">IF(ISNUMBER(SEARCH("S5",$AD92)),1,0)</f>
        <v>1</v>
      </c>
      <c r="AO92" s="17" t="n">
        <f aca="false">IF(ISNUMBER(SEARCH("S6",$AD92)),1,0)</f>
        <v>0</v>
      </c>
      <c r="AP92" s="17" t="n">
        <f aca="false">IF(ISNUMBER(SEARCH("TR",$AD92)),1,0)</f>
        <v>0</v>
      </c>
    </row>
    <row r="93" customFormat="false" ht="90.75" hidden="false" customHeight="true" outlineLevel="0" collapsed="false">
      <c r="A93" s="4" t="s">
        <v>641</v>
      </c>
      <c r="B93" s="4" t="s">
        <v>530</v>
      </c>
      <c r="C93" s="4" t="s">
        <v>631</v>
      </c>
      <c r="D93" s="4" t="s">
        <v>642</v>
      </c>
      <c r="E93" s="4" t="s">
        <v>83</v>
      </c>
      <c r="F93" s="4" t="s">
        <v>633</v>
      </c>
      <c r="G93" s="4" t="s">
        <v>92</v>
      </c>
      <c r="H93" s="4" t="s">
        <v>643</v>
      </c>
      <c r="I93" s="4" t="s">
        <v>77</v>
      </c>
      <c r="J93" s="4" t="s">
        <v>78</v>
      </c>
      <c r="K93" s="4" t="s">
        <v>198</v>
      </c>
      <c r="L93" s="4" t="s">
        <v>95</v>
      </c>
      <c r="M93" s="4" t="s">
        <v>49</v>
      </c>
      <c r="N93" s="4" t="s">
        <v>50</v>
      </c>
      <c r="O93" s="4" t="s">
        <v>644</v>
      </c>
      <c r="P93" s="4" t="s">
        <v>635</v>
      </c>
      <c r="Q93" s="4" t="s">
        <v>51</v>
      </c>
      <c r="R93" s="4" t="s">
        <v>645</v>
      </c>
      <c r="S93" s="16" t="n">
        <f aca="false">IF(ISNUMBER(SEARCH("E0",$H93)),1,0)</f>
        <v>0</v>
      </c>
      <c r="T93" s="16" t="n">
        <f aca="false">IF(ISNUMBER(SEARCH("E1",$H93)),1,0)</f>
        <v>0</v>
      </c>
      <c r="U93" s="16" t="n">
        <f aca="false">IF(ISNUMBER(SEARCH("E2",$H93)),1,0)</f>
        <v>0</v>
      </c>
      <c r="V93" s="16" t="n">
        <f aca="false">IF(ISNUMBER(SEARCH("E3",$H93)),1,0)</f>
        <v>0</v>
      </c>
      <c r="W93" s="16" t="n">
        <f aca="false">IF(ISNUMBER(SEARCH("E4",$H93)),1,0)</f>
        <v>0</v>
      </c>
      <c r="X93" s="16" t="n">
        <f aca="false">IF(ISNUMBER(SEARCH("E5",$H93)),1,0)</f>
        <v>1</v>
      </c>
      <c r="Y93" s="16" t="n">
        <f aca="false">IF(ISNUMBER(SEARCH("E6",$H93)),1,0)</f>
        <v>0</v>
      </c>
      <c r="Z93" s="16" t="n">
        <f aca="false">IF(ISNUMBER(SEARCH("E7",$H93)),1,0)</f>
        <v>0</v>
      </c>
      <c r="AA93" s="16" t="n">
        <f aca="false">IF(ISNUMBER(SEARCH("E8",$H93)),1,0)</f>
        <v>1</v>
      </c>
      <c r="AB93" s="16" t="n">
        <f aca="false">IF(ISNUMBER(SEARCH("E9",$H93)),1,0)</f>
        <v>0</v>
      </c>
      <c r="AC93" s="16" t="n">
        <f aca="false">IF(ISNUMBER(SEARCH("TR",$H93)),1,0)</f>
        <v>0</v>
      </c>
      <c r="AD93" s="10" t="s">
        <v>646</v>
      </c>
      <c r="AE93" s="17" t="n">
        <f aca="false">IF(ISNUMBER(SEARCH("S0",$AD93)),1,0)</f>
        <v>0</v>
      </c>
      <c r="AF93" s="17" t="n">
        <f aca="false">IF(ISNUMBER(SEARCH("R01",$AD93)),1,0)</f>
        <v>0</v>
      </c>
      <c r="AG93" s="17" t="n">
        <f aca="false">IF(ISNUMBER(SEARCH("R02R03",$AD93)),1,0)</f>
        <v>0</v>
      </c>
      <c r="AH93" s="17" t="n">
        <f aca="false">IF(ISNUMBER(SEARCH("R04",$AD93)),1,0)</f>
        <v>0</v>
      </c>
      <c r="AI93" s="17" t="n">
        <f aca="false">IF(ISNUMBER(SEARCH("R05",$AD93)),1,0)</f>
        <v>0</v>
      </c>
      <c r="AJ93" s="17" t="n">
        <f aca="false">IF(ISNUMBER(SEARCH("S3R06",$AD93)),1,0)</f>
        <v>1</v>
      </c>
      <c r="AK93" s="17" t="n">
        <f aca="false">IF(ISNUMBER(SEARCH("R07",$AD93)),1,0)</f>
        <v>0</v>
      </c>
      <c r="AL93" s="17" t="n">
        <f aca="false">IF(ISNUMBER(SEARCH("R09",$AD93)),1,0)</f>
        <v>0</v>
      </c>
      <c r="AM93" s="17" t="n">
        <f aca="false">IF(ISNUMBER(SEARCH("R10",$AD93)),1,0)</f>
        <v>0</v>
      </c>
      <c r="AN93" s="17" t="n">
        <f aca="false">IF(ISNUMBER(SEARCH("S5",$AD93)),1,0)</f>
        <v>1</v>
      </c>
      <c r="AO93" s="17" t="n">
        <f aca="false">IF(ISNUMBER(SEARCH("S6",$AD93)),1,0)</f>
        <v>0</v>
      </c>
      <c r="AP93" s="17" t="n">
        <f aca="false">IF(ISNUMBER(SEARCH("TR",$AD93)),1,0)</f>
        <v>0</v>
      </c>
    </row>
    <row r="94" customFormat="false" ht="90.75" hidden="false" customHeight="true" outlineLevel="0" collapsed="false">
      <c r="A94" s="4" t="s">
        <v>647</v>
      </c>
      <c r="B94" s="4" t="s">
        <v>530</v>
      </c>
      <c r="C94" s="4" t="s">
        <v>631</v>
      </c>
      <c r="D94" s="4" t="s">
        <v>648</v>
      </c>
      <c r="E94" s="4" t="s">
        <v>83</v>
      </c>
      <c r="F94" s="4" t="s">
        <v>633</v>
      </c>
      <c r="G94" s="4" t="s">
        <v>67</v>
      </c>
      <c r="H94" s="4" t="s">
        <v>211</v>
      </c>
      <c r="I94" s="4" t="s">
        <v>77</v>
      </c>
      <c r="J94" s="4" t="s">
        <v>47</v>
      </c>
      <c r="K94" s="4" t="s">
        <v>198</v>
      </c>
      <c r="L94" s="4" t="s">
        <v>59</v>
      </c>
      <c r="M94" s="4" t="s">
        <v>49</v>
      </c>
      <c r="N94" s="4" t="s">
        <v>61</v>
      </c>
      <c r="O94" s="4" t="s">
        <v>649</v>
      </c>
      <c r="P94" s="4" t="s">
        <v>635</v>
      </c>
      <c r="Q94" s="4" t="s">
        <v>51</v>
      </c>
      <c r="R94" s="4" t="s">
        <v>650</v>
      </c>
      <c r="S94" s="16" t="n">
        <f aca="false">IF(ISNUMBER(SEARCH("E0",$H94)),1,0)</f>
        <v>0</v>
      </c>
      <c r="T94" s="16" t="n">
        <f aca="false">IF(ISNUMBER(SEARCH("E1",$H94)),1,0)</f>
        <v>0</v>
      </c>
      <c r="U94" s="16" t="n">
        <f aca="false">IF(ISNUMBER(SEARCH("E2",$H94)),1,0)</f>
        <v>0</v>
      </c>
      <c r="V94" s="16" t="n">
        <f aca="false">IF(ISNUMBER(SEARCH("E3",$H94)),1,0)</f>
        <v>0</v>
      </c>
      <c r="W94" s="16" t="n">
        <f aca="false">IF(ISNUMBER(SEARCH("E4",$H94)),1,0)</f>
        <v>1</v>
      </c>
      <c r="X94" s="16" t="n">
        <f aca="false">IF(ISNUMBER(SEARCH("E5",$H94)),1,0)</f>
        <v>0</v>
      </c>
      <c r="Y94" s="16" t="n">
        <f aca="false">IF(ISNUMBER(SEARCH("E6",$H94)),1,0)</f>
        <v>0</v>
      </c>
      <c r="Z94" s="16" t="n">
        <f aca="false">IF(ISNUMBER(SEARCH("E7",$H94)),1,0)</f>
        <v>0</v>
      </c>
      <c r="AA94" s="16" t="n">
        <f aca="false">IF(ISNUMBER(SEARCH("E8",$H94)),1,0)</f>
        <v>1</v>
      </c>
      <c r="AB94" s="16" t="n">
        <f aca="false">IF(ISNUMBER(SEARCH("E9",$H94)),1,0)</f>
        <v>0</v>
      </c>
      <c r="AC94" s="16" t="n">
        <f aca="false">IF(ISNUMBER(SEARCH("TR",$H94)),1,0)</f>
        <v>0</v>
      </c>
      <c r="AD94" s="10" t="s">
        <v>230</v>
      </c>
      <c r="AE94" s="17" t="n">
        <f aca="false">IF(ISNUMBER(SEARCH("S0",$AD94)),1,0)</f>
        <v>0</v>
      </c>
      <c r="AF94" s="17" t="n">
        <f aca="false">IF(ISNUMBER(SEARCH("R01",$AD94)),1,0)</f>
        <v>0</v>
      </c>
      <c r="AG94" s="17" t="n">
        <f aca="false">IF(ISNUMBER(SEARCH("R02R03",$AD94)),1,0)</f>
        <v>0</v>
      </c>
      <c r="AH94" s="17" t="n">
        <f aca="false">IF(ISNUMBER(SEARCH("R04",$AD94)),1,0)</f>
        <v>0</v>
      </c>
      <c r="AI94" s="17" t="n">
        <f aca="false">IF(ISNUMBER(SEARCH("R05",$AD94)),1,0)</f>
        <v>1</v>
      </c>
      <c r="AJ94" s="17" t="n">
        <f aca="false">IF(ISNUMBER(SEARCH("S3R06",$AD94)),1,0)</f>
        <v>0</v>
      </c>
      <c r="AK94" s="17" t="n">
        <f aca="false">IF(ISNUMBER(SEARCH("R07",$AD94)),1,0)</f>
        <v>0</v>
      </c>
      <c r="AL94" s="17" t="n">
        <f aca="false">IF(ISNUMBER(SEARCH("R09",$AD94)),1,0)</f>
        <v>0</v>
      </c>
      <c r="AM94" s="17" t="n">
        <f aca="false">IF(ISNUMBER(SEARCH("R10",$AD94)),1,0)</f>
        <v>0</v>
      </c>
      <c r="AN94" s="17" t="n">
        <f aca="false">IF(ISNUMBER(SEARCH("S5",$AD94)),1,0)</f>
        <v>1</v>
      </c>
      <c r="AO94" s="17" t="n">
        <f aca="false">IF(ISNUMBER(SEARCH("S6",$AD94)),1,0)</f>
        <v>0</v>
      </c>
      <c r="AP94" s="17" t="n">
        <f aca="false">IF(ISNUMBER(SEARCH("TR",$AD94)),1,0)</f>
        <v>0</v>
      </c>
    </row>
    <row r="95" customFormat="false" ht="90.75" hidden="false" customHeight="true" outlineLevel="0" collapsed="false">
      <c r="A95" s="4" t="s">
        <v>651</v>
      </c>
      <c r="B95" s="4" t="s">
        <v>530</v>
      </c>
      <c r="C95" s="4" t="s">
        <v>631</v>
      </c>
      <c r="D95" s="4" t="s">
        <v>652</v>
      </c>
      <c r="E95" s="4" t="s">
        <v>83</v>
      </c>
      <c r="F95" s="4" t="s">
        <v>633</v>
      </c>
      <c r="G95" s="4" t="s">
        <v>84</v>
      </c>
      <c r="H95" s="4" t="s">
        <v>156</v>
      </c>
      <c r="I95" s="4" t="s">
        <v>77</v>
      </c>
      <c r="J95" s="4" t="s">
        <v>78</v>
      </c>
      <c r="K95" s="4" t="s">
        <v>198</v>
      </c>
      <c r="L95" s="4" t="s">
        <v>59</v>
      </c>
      <c r="M95" s="4" t="s">
        <v>49</v>
      </c>
      <c r="N95" s="4" t="s">
        <v>50</v>
      </c>
      <c r="O95" s="4" t="s">
        <v>653</v>
      </c>
      <c r="P95" s="4" t="s">
        <v>635</v>
      </c>
      <c r="Q95" s="4" t="s">
        <v>51</v>
      </c>
      <c r="R95" s="4" t="s">
        <v>654</v>
      </c>
      <c r="S95" s="16" t="n">
        <f aca="false">IF(ISNUMBER(SEARCH("E0",$H95)),1,0)</f>
        <v>0</v>
      </c>
      <c r="T95" s="16" t="n">
        <f aca="false">IF(ISNUMBER(SEARCH("E1",$H95)),1,0)</f>
        <v>0</v>
      </c>
      <c r="U95" s="16" t="n">
        <f aca="false">IF(ISNUMBER(SEARCH("E2",$H95)),1,0)</f>
        <v>0</v>
      </c>
      <c r="V95" s="16" t="n">
        <f aca="false">IF(ISNUMBER(SEARCH("E3",$H95)),1,0)</f>
        <v>0</v>
      </c>
      <c r="W95" s="16" t="n">
        <f aca="false">IF(ISNUMBER(SEARCH("E4",$H95)),1,0)</f>
        <v>0</v>
      </c>
      <c r="X95" s="16" t="n">
        <f aca="false">IF(ISNUMBER(SEARCH("E5",$H95)),1,0)</f>
        <v>0</v>
      </c>
      <c r="Y95" s="16" t="n">
        <f aca="false">IF(ISNUMBER(SEARCH("E6",$H95)),1,0)</f>
        <v>0</v>
      </c>
      <c r="Z95" s="16" t="n">
        <f aca="false">IF(ISNUMBER(SEARCH("E7",$H95)),1,0)</f>
        <v>0</v>
      </c>
      <c r="AA95" s="16" t="n">
        <f aca="false">IF(ISNUMBER(SEARCH("E8",$H95)),1,0)</f>
        <v>1</v>
      </c>
      <c r="AB95" s="16" t="n">
        <f aca="false">IF(ISNUMBER(SEARCH("E9",$H95)),1,0)</f>
        <v>0</v>
      </c>
      <c r="AC95" s="16" t="n">
        <f aca="false">IF(ISNUMBER(SEARCH("TR",$H95)),1,0)</f>
        <v>0</v>
      </c>
      <c r="AD95" s="10" t="s">
        <v>191</v>
      </c>
      <c r="AE95" s="17" t="n">
        <f aca="false">IF(ISNUMBER(SEARCH("S0",$AD95)),1,0)</f>
        <v>0</v>
      </c>
      <c r="AF95" s="17" t="n">
        <f aca="false">IF(ISNUMBER(SEARCH("R01",$AD95)),1,0)</f>
        <v>0</v>
      </c>
      <c r="AG95" s="17" t="n">
        <f aca="false">IF(ISNUMBER(SEARCH("R02R03",$AD95)),1,0)</f>
        <v>0</v>
      </c>
      <c r="AH95" s="17" t="n">
        <f aca="false">IF(ISNUMBER(SEARCH("R04",$AD95)),1,0)</f>
        <v>0</v>
      </c>
      <c r="AI95" s="17" t="n">
        <f aca="false">IF(ISNUMBER(SEARCH("R05",$AD95)),1,0)</f>
        <v>0</v>
      </c>
      <c r="AJ95" s="17" t="n">
        <f aca="false">IF(ISNUMBER(SEARCH("S3R06",$AD95)),1,0)</f>
        <v>0</v>
      </c>
      <c r="AK95" s="17" t="n">
        <f aca="false">IF(ISNUMBER(SEARCH("R07",$AD95)),1,0)</f>
        <v>0</v>
      </c>
      <c r="AL95" s="17" t="n">
        <f aca="false">IF(ISNUMBER(SEARCH("R09",$AD95)),1,0)</f>
        <v>0</v>
      </c>
      <c r="AM95" s="17" t="n">
        <f aca="false">IF(ISNUMBER(SEARCH("R10",$AD95)),1,0)</f>
        <v>0</v>
      </c>
      <c r="AN95" s="17" t="n">
        <f aca="false">IF(ISNUMBER(SEARCH("S5",$AD95)),1,0)</f>
        <v>1</v>
      </c>
      <c r="AO95" s="17" t="n">
        <f aca="false">IF(ISNUMBER(SEARCH("S6",$AD95)),1,0)</f>
        <v>0</v>
      </c>
      <c r="AP95" s="17" t="n">
        <f aca="false">IF(ISNUMBER(SEARCH("TR",$AD95)),1,0)</f>
        <v>0</v>
      </c>
    </row>
    <row r="96" customFormat="false" ht="90.75" hidden="false" customHeight="true" outlineLevel="0" collapsed="false">
      <c r="A96" s="4" t="s">
        <v>655</v>
      </c>
      <c r="B96" s="4" t="s">
        <v>530</v>
      </c>
      <c r="C96" s="4" t="s">
        <v>631</v>
      </c>
      <c r="D96" s="4" t="s">
        <v>656</v>
      </c>
      <c r="E96" s="4" t="s">
        <v>83</v>
      </c>
      <c r="F96" s="4" t="s">
        <v>633</v>
      </c>
      <c r="G96" s="4" t="s">
        <v>92</v>
      </c>
      <c r="H96" s="4" t="s">
        <v>409</v>
      </c>
      <c r="I96" s="4" t="s">
        <v>99</v>
      </c>
      <c r="J96" s="4" t="s">
        <v>78</v>
      </c>
      <c r="K96" s="4" t="s">
        <v>198</v>
      </c>
      <c r="L96" s="4" t="s">
        <v>95</v>
      </c>
      <c r="M96" s="4" t="s">
        <v>60</v>
      </c>
      <c r="N96" s="4" t="s">
        <v>61</v>
      </c>
      <c r="O96" s="4" t="s">
        <v>657</v>
      </c>
      <c r="P96" s="4" t="s">
        <v>635</v>
      </c>
      <c r="Q96" s="4" t="s">
        <v>51</v>
      </c>
      <c r="R96" s="4" t="s">
        <v>658</v>
      </c>
      <c r="S96" s="16" t="n">
        <f aca="false">IF(ISNUMBER(SEARCH("E0",$H96)),1,0)</f>
        <v>0</v>
      </c>
      <c r="T96" s="16" t="n">
        <f aca="false">IF(ISNUMBER(SEARCH("E1",$H96)),1,0)</f>
        <v>0</v>
      </c>
      <c r="U96" s="16" t="n">
        <f aca="false">IF(ISNUMBER(SEARCH("E2",$H96)),1,0)</f>
        <v>0</v>
      </c>
      <c r="V96" s="16" t="n">
        <f aca="false">IF(ISNUMBER(SEARCH("E3",$H96)),1,0)</f>
        <v>0</v>
      </c>
      <c r="W96" s="16" t="n">
        <f aca="false">IF(ISNUMBER(SEARCH("E4",$H96)),1,0)</f>
        <v>1</v>
      </c>
      <c r="X96" s="16" t="n">
        <f aca="false">IF(ISNUMBER(SEARCH("E5",$H96)),1,0)</f>
        <v>1</v>
      </c>
      <c r="Y96" s="16" t="n">
        <f aca="false">IF(ISNUMBER(SEARCH("E6",$H96)),1,0)</f>
        <v>0</v>
      </c>
      <c r="Z96" s="16" t="n">
        <f aca="false">IF(ISNUMBER(SEARCH("E7",$H96)),1,0)</f>
        <v>0</v>
      </c>
      <c r="AA96" s="16" t="n">
        <f aca="false">IF(ISNUMBER(SEARCH("E8",$H96)),1,0)</f>
        <v>0</v>
      </c>
      <c r="AB96" s="16" t="n">
        <f aca="false">IF(ISNUMBER(SEARCH("E9",$H96)),1,0)</f>
        <v>1</v>
      </c>
      <c r="AC96" s="16" t="n">
        <f aca="false">IF(ISNUMBER(SEARCH("TR",$H96)),1,0)</f>
        <v>0</v>
      </c>
      <c r="AD96" s="10" t="s">
        <v>412</v>
      </c>
      <c r="AE96" s="17" t="n">
        <f aca="false">IF(ISNUMBER(SEARCH("S0",$AD96)),1,0)</f>
        <v>0</v>
      </c>
      <c r="AF96" s="17" t="n">
        <f aca="false">IF(ISNUMBER(SEARCH("R01",$AD96)),1,0)</f>
        <v>0</v>
      </c>
      <c r="AG96" s="17" t="n">
        <f aca="false">IF(ISNUMBER(SEARCH("R02R03",$AD96)),1,0)</f>
        <v>0</v>
      </c>
      <c r="AH96" s="17" t="n">
        <f aca="false">IF(ISNUMBER(SEARCH("R04",$AD96)),1,0)</f>
        <v>0</v>
      </c>
      <c r="AI96" s="17" t="n">
        <f aca="false">IF(ISNUMBER(SEARCH("R05",$AD96)),1,0)</f>
        <v>1</v>
      </c>
      <c r="AJ96" s="17" t="n">
        <f aca="false">IF(ISNUMBER(SEARCH("S3R06",$AD96)),1,0)</f>
        <v>1</v>
      </c>
      <c r="AK96" s="17" t="n">
        <f aca="false">IF(ISNUMBER(SEARCH("R07",$AD96)),1,0)</f>
        <v>0</v>
      </c>
      <c r="AL96" s="17" t="n">
        <f aca="false">IF(ISNUMBER(SEARCH("R09",$AD96)),1,0)</f>
        <v>0</v>
      </c>
      <c r="AM96" s="17" t="n">
        <f aca="false">IF(ISNUMBER(SEARCH("R10",$AD96)),1,0)</f>
        <v>0</v>
      </c>
      <c r="AN96" s="17" t="n">
        <f aca="false">IF(ISNUMBER(SEARCH("S5",$AD96)),1,0)</f>
        <v>0</v>
      </c>
      <c r="AO96" s="17" t="n">
        <f aca="false">IF(ISNUMBER(SEARCH("S6",$AD96)),1,0)</f>
        <v>1</v>
      </c>
      <c r="AP96" s="17" t="n">
        <f aca="false">IF(ISNUMBER(SEARCH("TR",$AD96)),1,0)</f>
        <v>0</v>
      </c>
    </row>
    <row r="97" customFormat="false" ht="90.75" hidden="false" customHeight="true" outlineLevel="0" collapsed="false">
      <c r="A97" s="4" t="s">
        <v>659</v>
      </c>
      <c r="B97" s="4" t="s">
        <v>530</v>
      </c>
      <c r="C97" s="4" t="s">
        <v>631</v>
      </c>
      <c r="D97" s="4" t="s">
        <v>660</v>
      </c>
      <c r="E97" s="4" t="s">
        <v>83</v>
      </c>
      <c r="F97" s="4" t="s">
        <v>633</v>
      </c>
      <c r="G97" s="4" t="s">
        <v>98</v>
      </c>
      <c r="H97" s="4" t="s">
        <v>643</v>
      </c>
      <c r="I97" s="4" t="s">
        <v>106</v>
      </c>
      <c r="J97" s="4" t="s">
        <v>78</v>
      </c>
      <c r="K97" s="4" t="s">
        <v>198</v>
      </c>
      <c r="L97" s="4" t="s">
        <v>95</v>
      </c>
      <c r="M97" s="4" t="s">
        <v>60</v>
      </c>
      <c r="N97" s="4" t="s">
        <v>50</v>
      </c>
      <c r="O97" s="4" t="s">
        <v>661</v>
      </c>
      <c r="P97" s="4" t="s">
        <v>635</v>
      </c>
      <c r="Q97" s="4" t="s">
        <v>51</v>
      </c>
      <c r="R97" s="4" t="s">
        <v>662</v>
      </c>
      <c r="S97" s="16" t="n">
        <f aca="false">IF(ISNUMBER(SEARCH("E0",$H97)),1,0)</f>
        <v>0</v>
      </c>
      <c r="T97" s="16" t="n">
        <f aca="false">IF(ISNUMBER(SEARCH("E1",$H97)),1,0)</f>
        <v>0</v>
      </c>
      <c r="U97" s="16" t="n">
        <f aca="false">IF(ISNUMBER(SEARCH("E2",$H97)),1,0)</f>
        <v>0</v>
      </c>
      <c r="V97" s="16" t="n">
        <f aca="false">IF(ISNUMBER(SEARCH("E3",$H97)),1,0)</f>
        <v>0</v>
      </c>
      <c r="W97" s="16" t="n">
        <f aca="false">IF(ISNUMBER(SEARCH("E4",$H97)),1,0)</f>
        <v>0</v>
      </c>
      <c r="X97" s="16" t="n">
        <f aca="false">IF(ISNUMBER(SEARCH("E5",$H97)),1,0)</f>
        <v>1</v>
      </c>
      <c r="Y97" s="16" t="n">
        <f aca="false">IF(ISNUMBER(SEARCH("E6",$H97)),1,0)</f>
        <v>0</v>
      </c>
      <c r="Z97" s="16" t="n">
        <f aca="false">IF(ISNUMBER(SEARCH("E7",$H97)),1,0)</f>
        <v>0</v>
      </c>
      <c r="AA97" s="16" t="n">
        <f aca="false">IF(ISNUMBER(SEARCH("E8",$H97)),1,0)</f>
        <v>1</v>
      </c>
      <c r="AB97" s="16" t="n">
        <f aca="false">IF(ISNUMBER(SEARCH("E9",$H97)),1,0)</f>
        <v>0</v>
      </c>
      <c r="AC97" s="16" t="n">
        <f aca="false">IF(ISNUMBER(SEARCH("TR",$H97)),1,0)</f>
        <v>0</v>
      </c>
      <c r="AD97" s="10" t="s">
        <v>646</v>
      </c>
      <c r="AE97" s="17" t="n">
        <f aca="false">IF(ISNUMBER(SEARCH("S0",$AD97)),1,0)</f>
        <v>0</v>
      </c>
      <c r="AF97" s="17" t="n">
        <f aca="false">IF(ISNUMBER(SEARCH("R01",$AD97)),1,0)</f>
        <v>0</v>
      </c>
      <c r="AG97" s="17" t="n">
        <f aca="false">IF(ISNUMBER(SEARCH("R02R03",$AD97)),1,0)</f>
        <v>0</v>
      </c>
      <c r="AH97" s="17" t="n">
        <f aca="false">IF(ISNUMBER(SEARCH("R04",$AD97)),1,0)</f>
        <v>0</v>
      </c>
      <c r="AI97" s="17" t="n">
        <f aca="false">IF(ISNUMBER(SEARCH("R05",$AD97)),1,0)</f>
        <v>0</v>
      </c>
      <c r="AJ97" s="17" t="n">
        <f aca="false">IF(ISNUMBER(SEARCH("S3R06",$AD97)),1,0)</f>
        <v>1</v>
      </c>
      <c r="AK97" s="17" t="n">
        <f aca="false">IF(ISNUMBER(SEARCH("R07",$AD97)),1,0)</f>
        <v>0</v>
      </c>
      <c r="AL97" s="17" t="n">
        <f aca="false">IF(ISNUMBER(SEARCH("R09",$AD97)),1,0)</f>
        <v>0</v>
      </c>
      <c r="AM97" s="17" t="n">
        <f aca="false">IF(ISNUMBER(SEARCH("R10",$AD97)),1,0)</f>
        <v>0</v>
      </c>
      <c r="AN97" s="17" t="n">
        <f aca="false">IF(ISNUMBER(SEARCH("S5",$AD97)),1,0)</f>
        <v>1</v>
      </c>
      <c r="AO97" s="17" t="n">
        <f aca="false">IF(ISNUMBER(SEARCH("S6",$AD97)),1,0)</f>
        <v>0</v>
      </c>
      <c r="AP97" s="17" t="n">
        <f aca="false">IF(ISNUMBER(SEARCH("TR",$AD97)),1,0)</f>
        <v>0</v>
      </c>
    </row>
    <row r="98" customFormat="false" ht="90.75" hidden="false" customHeight="true" outlineLevel="0" collapsed="false">
      <c r="A98" s="4" t="s">
        <v>663</v>
      </c>
      <c r="B98" s="4" t="s">
        <v>530</v>
      </c>
      <c r="C98" s="4" t="s">
        <v>631</v>
      </c>
      <c r="D98" s="4" t="s">
        <v>664</v>
      </c>
      <c r="E98" s="4" t="s">
        <v>83</v>
      </c>
      <c r="F98" s="4" t="s">
        <v>633</v>
      </c>
      <c r="G98" s="4" t="s">
        <v>45</v>
      </c>
      <c r="H98" s="4" t="s">
        <v>665</v>
      </c>
      <c r="I98" s="4" t="s">
        <v>57</v>
      </c>
      <c r="J98" s="4" t="s">
        <v>78</v>
      </c>
      <c r="K98" s="4" t="s">
        <v>198</v>
      </c>
      <c r="L98" s="4" t="s">
        <v>95</v>
      </c>
      <c r="M98" s="4" t="s">
        <v>49</v>
      </c>
      <c r="N98" s="4" t="s">
        <v>50</v>
      </c>
      <c r="O98" s="4" t="s">
        <v>666</v>
      </c>
      <c r="P98" s="4" t="s">
        <v>635</v>
      </c>
      <c r="Q98" s="4" t="s">
        <v>51</v>
      </c>
      <c r="R98" s="4" t="s">
        <v>667</v>
      </c>
      <c r="S98" s="16" t="n">
        <f aca="false">IF(ISNUMBER(SEARCH("E0",$H98)),1,0)</f>
        <v>0</v>
      </c>
      <c r="T98" s="16" t="n">
        <f aca="false">IF(ISNUMBER(SEARCH("E1",$H98)),1,0)</f>
        <v>0</v>
      </c>
      <c r="U98" s="16" t="n">
        <f aca="false">IF(ISNUMBER(SEARCH("E2",$H98)),1,0)</f>
        <v>0</v>
      </c>
      <c r="V98" s="16" t="n">
        <f aca="false">IF(ISNUMBER(SEARCH("E3",$H98)),1,0)</f>
        <v>1</v>
      </c>
      <c r="W98" s="16" t="n">
        <f aca="false">IF(ISNUMBER(SEARCH("E4",$H98)),1,0)</f>
        <v>1</v>
      </c>
      <c r="X98" s="16" t="n">
        <f aca="false">IF(ISNUMBER(SEARCH("E5",$H98)),1,0)</f>
        <v>0</v>
      </c>
      <c r="Y98" s="16" t="n">
        <f aca="false">IF(ISNUMBER(SEARCH("E6",$H98)),1,0)</f>
        <v>0</v>
      </c>
      <c r="Z98" s="16" t="n">
        <f aca="false">IF(ISNUMBER(SEARCH("E7",$H98)),1,0)</f>
        <v>0</v>
      </c>
      <c r="AA98" s="16" t="n">
        <f aca="false">IF(ISNUMBER(SEARCH("E8",$H98)),1,0)</f>
        <v>0</v>
      </c>
      <c r="AB98" s="16" t="n">
        <f aca="false">IF(ISNUMBER(SEARCH("E9",$H98)),1,0)</f>
        <v>0</v>
      </c>
      <c r="AC98" s="16" t="n">
        <f aca="false">IF(ISNUMBER(SEARCH("TR",$H98)),1,0)</f>
        <v>0</v>
      </c>
      <c r="AD98" s="10" t="s">
        <v>668</v>
      </c>
      <c r="AE98" s="17" t="n">
        <f aca="false">IF(ISNUMBER(SEARCH("S0",$AD98)),1,0)</f>
        <v>0</v>
      </c>
      <c r="AF98" s="17" t="n">
        <f aca="false">IF(ISNUMBER(SEARCH("R01",$AD98)),1,0)</f>
        <v>0</v>
      </c>
      <c r="AG98" s="17" t="n">
        <f aca="false">IF(ISNUMBER(SEARCH("R02R03",$AD98)),1,0)</f>
        <v>0</v>
      </c>
      <c r="AH98" s="17" t="n">
        <f aca="false">IF(ISNUMBER(SEARCH("R04",$AD98)),1,0)</f>
        <v>1</v>
      </c>
      <c r="AI98" s="17" t="n">
        <f aca="false">IF(ISNUMBER(SEARCH("R05",$AD98)),1,0)</f>
        <v>1</v>
      </c>
      <c r="AJ98" s="17" t="n">
        <f aca="false">IF(ISNUMBER(SEARCH("S3R06",$AD98)),1,0)</f>
        <v>0</v>
      </c>
      <c r="AK98" s="17" t="n">
        <f aca="false">IF(ISNUMBER(SEARCH("R07",$AD98)),1,0)</f>
        <v>0</v>
      </c>
      <c r="AL98" s="17" t="n">
        <f aca="false">IF(ISNUMBER(SEARCH("R09",$AD98)),1,0)</f>
        <v>0</v>
      </c>
      <c r="AM98" s="17" t="n">
        <f aca="false">IF(ISNUMBER(SEARCH("R10",$AD98)),1,0)</f>
        <v>0</v>
      </c>
      <c r="AN98" s="17" t="n">
        <f aca="false">IF(ISNUMBER(SEARCH("S5",$AD98)),1,0)</f>
        <v>0</v>
      </c>
      <c r="AO98" s="17" t="n">
        <f aca="false">IF(ISNUMBER(SEARCH("S6",$AD98)),1,0)</f>
        <v>0</v>
      </c>
      <c r="AP98" s="17" t="n">
        <f aca="false">IF(ISNUMBER(SEARCH("TR",$AD98)),1,0)</f>
        <v>0</v>
      </c>
    </row>
    <row r="99" customFormat="false" ht="90.75" hidden="false" customHeight="true" outlineLevel="0" collapsed="false">
      <c r="A99" s="4" t="s">
        <v>669</v>
      </c>
      <c r="B99" s="4" t="s">
        <v>530</v>
      </c>
      <c r="C99" s="4" t="s">
        <v>631</v>
      </c>
      <c r="D99" s="4" t="s">
        <v>670</v>
      </c>
      <c r="E99" s="4" t="s">
        <v>83</v>
      </c>
      <c r="F99" s="4" t="s">
        <v>633</v>
      </c>
      <c r="G99" s="4" t="s">
        <v>45</v>
      </c>
      <c r="H99" s="4" t="s">
        <v>665</v>
      </c>
      <c r="I99" s="4" t="s">
        <v>57</v>
      </c>
      <c r="J99" s="4" t="s">
        <v>78</v>
      </c>
      <c r="K99" s="4" t="s">
        <v>198</v>
      </c>
      <c r="L99" s="4" t="s">
        <v>95</v>
      </c>
      <c r="M99" s="4" t="s">
        <v>49</v>
      </c>
      <c r="N99" s="4" t="s">
        <v>50</v>
      </c>
      <c r="O99" s="4" t="s">
        <v>671</v>
      </c>
      <c r="P99" s="4" t="s">
        <v>635</v>
      </c>
      <c r="Q99" s="4" t="s">
        <v>51</v>
      </c>
      <c r="R99" s="4" t="s">
        <v>672</v>
      </c>
      <c r="S99" s="16" t="n">
        <f aca="false">IF(ISNUMBER(SEARCH("E0",$H99)),1,0)</f>
        <v>0</v>
      </c>
      <c r="T99" s="16" t="n">
        <f aca="false">IF(ISNUMBER(SEARCH("E1",$H99)),1,0)</f>
        <v>0</v>
      </c>
      <c r="U99" s="16" t="n">
        <f aca="false">IF(ISNUMBER(SEARCH("E2",$H99)),1,0)</f>
        <v>0</v>
      </c>
      <c r="V99" s="16" t="n">
        <f aca="false">IF(ISNUMBER(SEARCH("E3",$H99)),1,0)</f>
        <v>1</v>
      </c>
      <c r="W99" s="16" t="n">
        <f aca="false">IF(ISNUMBER(SEARCH("E4",$H99)),1,0)</f>
        <v>1</v>
      </c>
      <c r="X99" s="16" t="n">
        <f aca="false">IF(ISNUMBER(SEARCH("E5",$H99)),1,0)</f>
        <v>0</v>
      </c>
      <c r="Y99" s="16" t="n">
        <f aca="false">IF(ISNUMBER(SEARCH("E6",$H99)),1,0)</f>
        <v>0</v>
      </c>
      <c r="Z99" s="16" t="n">
        <f aca="false">IF(ISNUMBER(SEARCH("E7",$H99)),1,0)</f>
        <v>0</v>
      </c>
      <c r="AA99" s="16" t="n">
        <f aca="false">IF(ISNUMBER(SEARCH("E8",$H99)),1,0)</f>
        <v>0</v>
      </c>
      <c r="AB99" s="16" t="n">
        <f aca="false">IF(ISNUMBER(SEARCH("E9",$H99)),1,0)</f>
        <v>0</v>
      </c>
      <c r="AC99" s="16" t="n">
        <f aca="false">IF(ISNUMBER(SEARCH("TR",$H99)),1,0)</f>
        <v>0</v>
      </c>
      <c r="AD99" s="10" t="s">
        <v>668</v>
      </c>
      <c r="AE99" s="17" t="n">
        <f aca="false">IF(ISNUMBER(SEARCH("S0",$AD99)),1,0)</f>
        <v>0</v>
      </c>
      <c r="AF99" s="17" t="n">
        <f aca="false">IF(ISNUMBER(SEARCH("R01",$AD99)),1,0)</f>
        <v>0</v>
      </c>
      <c r="AG99" s="17" t="n">
        <f aca="false">IF(ISNUMBER(SEARCH("R02R03",$AD99)),1,0)</f>
        <v>0</v>
      </c>
      <c r="AH99" s="17" t="n">
        <f aca="false">IF(ISNUMBER(SEARCH("R04",$AD99)),1,0)</f>
        <v>1</v>
      </c>
      <c r="AI99" s="17" t="n">
        <f aca="false">IF(ISNUMBER(SEARCH("R05",$AD99)),1,0)</f>
        <v>1</v>
      </c>
      <c r="AJ99" s="17" t="n">
        <f aca="false">IF(ISNUMBER(SEARCH("S3R06",$AD99)),1,0)</f>
        <v>0</v>
      </c>
      <c r="AK99" s="17" t="n">
        <f aca="false">IF(ISNUMBER(SEARCH("R07",$AD99)),1,0)</f>
        <v>0</v>
      </c>
      <c r="AL99" s="17" t="n">
        <f aca="false">IF(ISNUMBER(SEARCH("R09",$AD99)),1,0)</f>
        <v>0</v>
      </c>
      <c r="AM99" s="17" t="n">
        <f aca="false">IF(ISNUMBER(SEARCH("R10",$AD99)),1,0)</f>
        <v>0</v>
      </c>
      <c r="AN99" s="17" t="n">
        <f aca="false">IF(ISNUMBER(SEARCH("S5",$AD99)),1,0)</f>
        <v>0</v>
      </c>
      <c r="AO99" s="17" t="n">
        <f aca="false">IF(ISNUMBER(SEARCH("S6",$AD99)),1,0)</f>
        <v>0</v>
      </c>
      <c r="AP99" s="17" t="n">
        <f aca="false">IF(ISNUMBER(SEARCH("TR",$AD99)),1,0)</f>
        <v>0</v>
      </c>
    </row>
    <row r="100" customFormat="false" ht="90.75" hidden="false" customHeight="true" outlineLevel="0" collapsed="false">
      <c r="A100" s="4" t="s">
        <v>673</v>
      </c>
      <c r="B100" s="4" t="s">
        <v>530</v>
      </c>
      <c r="C100" s="4" t="s">
        <v>631</v>
      </c>
      <c r="D100" s="4" t="s">
        <v>674</v>
      </c>
      <c r="E100" s="4" t="s">
        <v>83</v>
      </c>
      <c r="F100" s="4" t="s">
        <v>633</v>
      </c>
      <c r="G100" s="4" t="s">
        <v>45</v>
      </c>
      <c r="H100" s="4" t="s">
        <v>665</v>
      </c>
      <c r="I100" s="4" t="s">
        <v>57</v>
      </c>
      <c r="J100" s="4" t="s">
        <v>78</v>
      </c>
      <c r="K100" s="4" t="s">
        <v>198</v>
      </c>
      <c r="L100" s="4" t="s">
        <v>95</v>
      </c>
      <c r="M100" s="4" t="s">
        <v>49</v>
      </c>
      <c r="N100" s="4" t="s">
        <v>50</v>
      </c>
      <c r="O100" s="4" t="s">
        <v>675</v>
      </c>
      <c r="P100" s="4" t="s">
        <v>635</v>
      </c>
      <c r="Q100" s="4" t="s">
        <v>51</v>
      </c>
      <c r="R100" s="4" t="s">
        <v>676</v>
      </c>
      <c r="S100" s="16" t="n">
        <f aca="false">IF(ISNUMBER(SEARCH("E0",$H100)),1,0)</f>
        <v>0</v>
      </c>
      <c r="T100" s="16" t="n">
        <f aca="false">IF(ISNUMBER(SEARCH("E1",$H100)),1,0)</f>
        <v>0</v>
      </c>
      <c r="U100" s="16" t="n">
        <f aca="false">IF(ISNUMBER(SEARCH("E2",$H100)),1,0)</f>
        <v>0</v>
      </c>
      <c r="V100" s="16" t="n">
        <f aca="false">IF(ISNUMBER(SEARCH("E3",$H100)),1,0)</f>
        <v>1</v>
      </c>
      <c r="W100" s="16" t="n">
        <f aca="false">IF(ISNUMBER(SEARCH("E4",$H100)),1,0)</f>
        <v>1</v>
      </c>
      <c r="X100" s="16" t="n">
        <f aca="false">IF(ISNUMBER(SEARCH("E5",$H100)),1,0)</f>
        <v>0</v>
      </c>
      <c r="Y100" s="16" t="n">
        <f aca="false">IF(ISNUMBER(SEARCH("E6",$H100)),1,0)</f>
        <v>0</v>
      </c>
      <c r="Z100" s="16" t="n">
        <f aca="false">IF(ISNUMBER(SEARCH("E7",$H100)),1,0)</f>
        <v>0</v>
      </c>
      <c r="AA100" s="16" t="n">
        <f aca="false">IF(ISNUMBER(SEARCH("E8",$H100)),1,0)</f>
        <v>0</v>
      </c>
      <c r="AB100" s="16" t="n">
        <f aca="false">IF(ISNUMBER(SEARCH("E9",$H100)),1,0)</f>
        <v>0</v>
      </c>
      <c r="AC100" s="16" t="n">
        <f aca="false">IF(ISNUMBER(SEARCH("TR",$H100)),1,0)</f>
        <v>0</v>
      </c>
      <c r="AD100" s="10" t="s">
        <v>668</v>
      </c>
      <c r="AE100" s="17" t="n">
        <f aca="false">IF(ISNUMBER(SEARCH("S0",$AD100)),1,0)</f>
        <v>0</v>
      </c>
      <c r="AF100" s="17" t="n">
        <f aca="false">IF(ISNUMBER(SEARCH("R01",$AD100)),1,0)</f>
        <v>0</v>
      </c>
      <c r="AG100" s="17" t="n">
        <f aca="false">IF(ISNUMBER(SEARCH("R02R03",$AD100)),1,0)</f>
        <v>0</v>
      </c>
      <c r="AH100" s="17" t="n">
        <f aca="false">IF(ISNUMBER(SEARCH("R04",$AD100)),1,0)</f>
        <v>1</v>
      </c>
      <c r="AI100" s="17" t="n">
        <f aca="false">IF(ISNUMBER(SEARCH("R05",$AD100)),1,0)</f>
        <v>1</v>
      </c>
      <c r="AJ100" s="17" t="n">
        <f aca="false">IF(ISNUMBER(SEARCH("S3R06",$AD100)),1,0)</f>
        <v>0</v>
      </c>
      <c r="AK100" s="17" t="n">
        <f aca="false">IF(ISNUMBER(SEARCH("R07",$AD100)),1,0)</f>
        <v>0</v>
      </c>
      <c r="AL100" s="17" t="n">
        <f aca="false">IF(ISNUMBER(SEARCH("R09",$AD100)),1,0)</f>
        <v>0</v>
      </c>
      <c r="AM100" s="17" t="n">
        <f aca="false">IF(ISNUMBER(SEARCH("R10",$AD100)),1,0)</f>
        <v>0</v>
      </c>
      <c r="AN100" s="17" t="n">
        <f aca="false">IF(ISNUMBER(SEARCH("S5",$AD100)),1,0)</f>
        <v>0</v>
      </c>
      <c r="AO100" s="17" t="n">
        <f aca="false">IF(ISNUMBER(SEARCH("S6",$AD100)),1,0)</f>
        <v>0</v>
      </c>
      <c r="AP100" s="17" t="n">
        <f aca="false">IF(ISNUMBER(SEARCH("TR",$AD100)),1,0)</f>
        <v>0</v>
      </c>
    </row>
    <row r="101" customFormat="false" ht="90.75" hidden="false" customHeight="true" outlineLevel="0" collapsed="false">
      <c r="A101" s="4" t="s">
        <v>677</v>
      </c>
      <c r="B101" s="4" t="s">
        <v>530</v>
      </c>
      <c r="C101" s="4" t="s">
        <v>631</v>
      </c>
      <c r="D101" s="4" t="s">
        <v>678</v>
      </c>
      <c r="E101" s="4" t="s">
        <v>83</v>
      </c>
      <c r="F101" s="4" t="s">
        <v>633</v>
      </c>
      <c r="G101" s="4" t="s">
        <v>92</v>
      </c>
      <c r="H101" s="4" t="s">
        <v>679</v>
      </c>
      <c r="I101" s="4" t="s">
        <v>99</v>
      </c>
      <c r="J101" s="4" t="s">
        <v>78</v>
      </c>
      <c r="K101" s="4" t="s">
        <v>198</v>
      </c>
      <c r="L101" s="4" t="s">
        <v>95</v>
      </c>
      <c r="M101" s="4" t="s">
        <v>49</v>
      </c>
      <c r="N101" s="4" t="s">
        <v>61</v>
      </c>
      <c r="O101" s="4" t="s">
        <v>680</v>
      </c>
      <c r="P101" s="4" t="s">
        <v>635</v>
      </c>
      <c r="Q101" s="4" t="s">
        <v>51</v>
      </c>
      <c r="R101" s="4" t="s">
        <v>681</v>
      </c>
      <c r="S101" s="16" t="n">
        <f aca="false">IF(ISNUMBER(SEARCH("E0",$H101)),1,0)</f>
        <v>0</v>
      </c>
      <c r="T101" s="16" t="n">
        <f aca="false">IF(ISNUMBER(SEARCH("E1",$H101)),1,0)</f>
        <v>0</v>
      </c>
      <c r="U101" s="16" t="n">
        <f aca="false">IF(ISNUMBER(SEARCH("E2",$H101)),1,0)</f>
        <v>0</v>
      </c>
      <c r="V101" s="16" t="n">
        <f aca="false">IF(ISNUMBER(SEARCH("E3",$H101)),1,0)</f>
        <v>1</v>
      </c>
      <c r="W101" s="16" t="n">
        <f aca="false">IF(ISNUMBER(SEARCH("E4",$H101)),1,0)</f>
        <v>0</v>
      </c>
      <c r="X101" s="16" t="n">
        <f aca="false">IF(ISNUMBER(SEARCH("E5",$H101)),1,0)</f>
        <v>0</v>
      </c>
      <c r="Y101" s="16" t="n">
        <f aca="false">IF(ISNUMBER(SEARCH("E6",$H101)),1,0)</f>
        <v>0</v>
      </c>
      <c r="Z101" s="16" t="n">
        <f aca="false">IF(ISNUMBER(SEARCH("E7",$H101)),1,0)</f>
        <v>0</v>
      </c>
      <c r="AA101" s="16" t="n">
        <f aca="false">IF(ISNUMBER(SEARCH("E8",$H101)),1,0)</f>
        <v>0</v>
      </c>
      <c r="AB101" s="16" t="n">
        <f aca="false">IF(ISNUMBER(SEARCH("E9",$H101)),1,0)</f>
        <v>1</v>
      </c>
      <c r="AC101" s="16" t="n">
        <f aca="false">IF(ISNUMBER(SEARCH("TR",$H101)),1,0)</f>
        <v>0</v>
      </c>
      <c r="AD101" s="10" t="s">
        <v>682</v>
      </c>
      <c r="AE101" s="17" t="n">
        <f aca="false">IF(ISNUMBER(SEARCH("S0",$AD101)),1,0)</f>
        <v>0</v>
      </c>
      <c r="AF101" s="17" t="n">
        <f aca="false">IF(ISNUMBER(SEARCH("R01",$AD101)),1,0)</f>
        <v>0</v>
      </c>
      <c r="AG101" s="17" t="n">
        <f aca="false">IF(ISNUMBER(SEARCH("R02R03",$AD101)),1,0)</f>
        <v>0</v>
      </c>
      <c r="AH101" s="17" t="n">
        <f aca="false">IF(ISNUMBER(SEARCH("R04",$AD101)),1,0)</f>
        <v>1</v>
      </c>
      <c r="AI101" s="17" t="n">
        <f aca="false">IF(ISNUMBER(SEARCH("R05",$AD101)),1,0)</f>
        <v>0</v>
      </c>
      <c r="AJ101" s="17" t="n">
        <f aca="false">IF(ISNUMBER(SEARCH("S3R06",$AD101)),1,0)</f>
        <v>0</v>
      </c>
      <c r="AK101" s="17" t="n">
        <f aca="false">IF(ISNUMBER(SEARCH("R07",$AD101)),1,0)</f>
        <v>0</v>
      </c>
      <c r="AL101" s="17" t="n">
        <f aca="false">IF(ISNUMBER(SEARCH("R09",$AD101)),1,0)</f>
        <v>0</v>
      </c>
      <c r="AM101" s="17" t="n">
        <f aca="false">IF(ISNUMBER(SEARCH("R10",$AD101)),1,0)</f>
        <v>0</v>
      </c>
      <c r="AN101" s="17" t="n">
        <f aca="false">IF(ISNUMBER(SEARCH("S5",$AD101)),1,0)</f>
        <v>0</v>
      </c>
      <c r="AO101" s="17" t="n">
        <f aca="false">IF(ISNUMBER(SEARCH("S6",$AD101)),1,0)</f>
        <v>1</v>
      </c>
      <c r="AP101" s="17" t="n">
        <f aca="false">IF(ISNUMBER(SEARCH("TR",$AD101)),1,0)</f>
        <v>0</v>
      </c>
    </row>
    <row r="102" customFormat="false" ht="90.75" hidden="false" customHeight="true" outlineLevel="0" collapsed="false">
      <c r="A102" s="4" t="s">
        <v>683</v>
      </c>
      <c r="B102" s="4" t="s">
        <v>530</v>
      </c>
      <c r="C102" s="4" t="s">
        <v>631</v>
      </c>
      <c r="D102" s="4" t="s">
        <v>684</v>
      </c>
      <c r="E102" s="4" t="s">
        <v>83</v>
      </c>
      <c r="F102" s="4" t="s">
        <v>633</v>
      </c>
      <c r="G102" s="4" t="s">
        <v>92</v>
      </c>
      <c r="H102" s="4" t="s">
        <v>444</v>
      </c>
      <c r="I102" s="4" t="s">
        <v>99</v>
      </c>
      <c r="J102" s="4" t="s">
        <v>78</v>
      </c>
      <c r="K102" s="4" t="s">
        <v>198</v>
      </c>
      <c r="L102" s="4" t="s">
        <v>95</v>
      </c>
      <c r="M102" s="4" t="s">
        <v>49</v>
      </c>
      <c r="N102" s="4" t="s">
        <v>61</v>
      </c>
      <c r="O102" s="4" t="s">
        <v>685</v>
      </c>
      <c r="P102" s="4" t="s">
        <v>635</v>
      </c>
      <c r="Q102" s="4" t="s">
        <v>51</v>
      </c>
      <c r="R102" s="4" t="s">
        <v>686</v>
      </c>
      <c r="S102" s="16" t="n">
        <f aca="false">IF(ISNUMBER(SEARCH("E0",$H102)),1,0)</f>
        <v>0</v>
      </c>
      <c r="T102" s="16" t="n">
        <f aca="false">IF(ISNUMBER(SEARCH("E1",$H102)),1,0)</f>
        <v>0</v>
      </c>
      <c r="U102" s="16" t="n">
        <f aca="false">IF(ISNUMBER(SEARCH("E2",$H102)),1,0)</f>
        <v>0</v>
      </c>
      <c r="V102" s="16" t="n">
        <f aca="false">IF(ISNUMBER(SEARCH("E3",$H102)),1,0)</f>
        <v>0</v>
      </c>
      <c r="W102" s="16" t="n">
        <f aca="false">IF(ISNUMBER(SEARCH("E4",$H102)),1,0)</f>
        <v>0</v>
      </c>
      <c r="X102" s="16" t="n">
        <f aca="false">IF(ISNUMBER(SEARCH("E5",$H102)),1,0)</f>
        <v>1</v>
      </c>
      <c r="Y102" s="16" t="n">
        <f aca="false">IF(ISNUMBER(SEARCH("E6",$H102)),1,0)</f>
        <v>0</v>
      </c>
      <c r="Z102" s="16" t="n">
        <f aca="false">IF(ISNUMBER(SEARCH("E7",$H102)),1,0)</f>
        <v>0</v>
      </c>
      <c r="AA102" s="16" t="n">
        <f aca="false">IF(ISNUMBER(SEARCH("E8",$H102)),1,0)</f>
        <v>0</v>
      </c>
      <c r="AB102" s="16" t="n">
        <f aca="false">IF(ISNUMBER(SEARCH("E9",$H102)),1,0)</f>
        <v>1</v>
      </c>
      <c r="AC102" s="16" t="n">
        <f aca="false">IF(ISNUMBER(SEARCH("TR",$H102)),1,0)</f>
        <v>0</v>
      </c>
      <c r="AD102" s="10" t="s">
        <v>448</v>
      </c>
      <c r="AE102" s="17" t="n">
        <f aca="false">IF(ISNUMBER(SEARCH("S0",$AD102)),1,0)</f>
        <v>0</v>
      </c>
      <c r="AF102" s="17" t="n">
        <f aca="false">IF(ISNUMBER(SEARCH("R01",$AD102)),1,0)</f>
        <v>0</v>
      </c>
      <c r="AG102" s="17" t="n">
        <f aca="false">IF(ISNUMBER(SEARCH("R02R03",$AD102)),1,0)</f>
        <v>0</v>
      </c>
      <c r="AH102" s="17" t="n">
        <f aca="false">IF(ISNUMBER(SEARCH("R04",$AD102)),1,0)</f>
        <v>0</v>
      </c>
      <c r="AI102" s="17" t="n">
        <f aca="false">IF(ISNUMBER(SEARCH("R05",$AD102)),1,0)</f>
        <v>0</v>
      </c>
      <c r="AJ102" s="17" t="n">
        <f aca="false">IF(ISNUMBER(SEARCH("S3R06",$AD102)),1,0)</f>
        <v>1</v>
      </c>
      <c r="AK102" s="17" t="n">
        <f aca="false">IF(ISNUMBER(SEARCH("R07",$AD102)),1,0)</f>
        <v>0</v>
      </c>
      <c r="AL102" s="17" t="n">
        <f aca="false">IF(ISNUMBER(SEARCH("R09",$AD102)),1,0)</f>
        <v>0</v>
      </c>
      <c r="AM102" s="17" t="n">
        <f aca="false">IF(ISNUMBER(SEARCH("R10",$AD102)),1,0)</f>
        <v>0</v>
      </c>
      <c r="AN102" s="17" t="n">
        <f aca="false">IF(ISNUMBER(SEARCH("S5",$AD102)),1,0)</f>
        <v>0</v>
      </c>
      <c r="AO102" s="17" t="n">
        <f aca="false">IF(ISNUMBER(SEARCH("S6",$AD102)),1,0)</f>
        <v>1</v>
      </c>
      <c r="AP102" s="17" t="n">
        <f aca="false">IF(ISNUMBER(SEARCH("TR",$AD102)),1,0)</f>
        <v>0</v>
      </c>
    </row>
    <row r="103" customFormat="false" ht="90.75" hidden="false" customHeight="true" outlineLevel="0" collapsed="false">
      <c r="A103" s="4" t="s">
        <v>687</v>
      </c>
      <c r="B103" s="4" t="s">
        <v>530</v>
      </c>
      <c r="C103" s="4" t="s">
        <v>631</v>
      </c>
      <c r="D103" s="4" t="s">
        <v>563</v>
      </c>
      <c r="E103" s="4" t="s">
        <v>83</v>
      </c>
      <c r="F103" s="4" t="s">
        <v>633</v>
      </c>
      <c r="G103" s="4" t="s">
        <v>92</v>
      </c>
      <c r="H103" s="4" t="s">
        <v>444</v>
      </c>
      <c r="I103" s="4" t="s">
        <v>99</v>
      </c>
      <c r="J103" s="4" t="s">
        <v>78</v>
      </c>
      <c r="K103" s="4" t="s">
        <v>198</v>
      </c>
      <c r="L103" s="4" t="s">
        <v>95</v>
      </c>
      <c r="M103" s="4" t="s">
        <v>49</v>
      </c>
      <c r="N103" s="4" t="s">
        <v>61</v>
      </c>
      <c r="O103" s="4" t="s">
        <v>688</v>
      </c>
      <c r="P103" s="4" t="s">
        <v>635</v>
      </c>
      <c r="Q103" s="4" t="s">
        <v>51</v>
      </c>
      <c r="R103" s="4" t="s">
        <v>689</v>
      </c>
      <c r="S103" s="16" t="n">
        <f aca="false">IF(ISNUMBER(SEARCH("E0",$H103)),1,0)</f>
        <v>0</v>
      </c>
      <c r="T103" s="16" t="n">
        <f aca="false">IF(ISNUMBER(SEARCH("E1",$H103)),1,0)</f>
        <v>0</v>
      </c>
      <c r="U103" s="16" t="n">
        <f aca="false">IF(ISNUMBER(SEARCH("E2",$H103)),1,0)</f>
        <v>0</v>
      </c>
      <c r="V103" s="16" t="n">
        <f aca="false">IF(ISNUMBER(SEARCH("E3",$H103)),1,0)</f>
        <v>0</v>
      </c>
      <c r="W103" s="16" t="n">
        <f aca="false">IF(ISNUMBER(SEARCH("E4",$H103)),1,0)</f>
        <v>0</v>
      </c>
      <c r="X103" s="16" t="n">
        <f aca="false">IF(ISNUMBER(SEARCH("E5",$H103)),1,0)</f>
        <v>1</v>
      </c>
      <c r="Y103" s="16" t="n">
        <f aca="false">IF(ISNUMBER(SEARCH("E6",$H103)),1,0)</f>
        <v>0</v>
      </c>
      <c r="Z103" s="16" t="n">
        <f aca="false">IF(ISNUMBER(SEARCH("E7",$H103)),1,0)</f>
        <v>0</v>
      </c>
      <c r="AA103" s="16" t="n">
        <f aca="false">IF(ISNUMBER(SEARCH("E8",$H103)),1,0)</f>
        <v>0</v>
      </c>
      <c r="AB103" s="16" t="n">
        <f aca="false">IF(ISNUMBER(SEARCH("E9",$H103)),1,0)</f>
        <v>1</v>
      </c>
      <c r="AC103" s="16" t="n">
        <f aca="false">IF(ISNUMBER(SEARCH("TR",$H103)),1,0)</f>
        <v>0</v>
      </c>
      <c r="AD103" s="10" t="s">
        <v>448</v>
      </c>
      <c r="AE103" s="17" t="n">
        <f aca="false">IF(ISNUMBER(SEARCH("S0",$AD103)),1,0)</f>
        <v>0</v>
      </c>
      <c r="AF103" s="17" t="n">
        <f aca="false">IF(ISNUMBER(SEARCH("R01",$AD103)),1,0)</f>
        <v>0</v>
      </c>
      <c r="AG103" s="17" t="n">
        <f aca="false">IF(ISNUMBER(SEARCH("R02R03",$AD103)),1,0)</f>
        <v>0</v>
      </c>
      <c r="AH103" s="17" t="n">
        <f aca="false">IF(ISNUMBER(SEARCH("R04",$AD103)),1,0)</f>
        <v>0</v>
      </c>
      <c r="AI103" s="17" t="n">
        <f aca="false">IF(ISNUMBER(SEARCH("R05",$AD103)),1,0)</f>
        <v>0</v>
      </c>
      <c r="AJ103" s="17" t="n">
        <f aca="false">IF(ISNUMBER(SEARCH("S3R06",$AD103)),1,0)</f>
        <v>1</v>
      </c>
      <c r="AK103" s="17" t="n">
        <f aca="false">IF(ISNUMBER(SEARCH("R07",$AD103)),1,0)</f>
        <v>0</v>
      </c>
      <c r="AL103" s="17" t="n">
        <f aca="false">IF(ISNUMBER(SEARCH("R09",$AD103)),1,0)</f>
        <v>0</v>
      </c>
      <c r="AM103" s="17" t="n">
        <f aca="false">IF(ISNUMBER(SEARCH("R10",$AD103)),1,0)</f>
        <v>0</v>
      </c>
      <c r="AN103" s="17" t="n">
        <f aca="false">IF(ISNUMBER(SEARCH("S5",$AD103)),1,0)</f>
        <v>0</v>
      </c>
      <c r="AO103" s="17" t="n">
        <f aca="false">IF(ISNUMBER(SEARCH("S6",$AD103)),1,0)</f>
        <v>1</v>
      </c>
      <c r="AP103" s="17" t="n">
        <f aca="false">IF(ISNUMBER(SEARCH("TR",$AD103)),1,0)</f>
        <v>0</v>
      </c>
    </row>
    <row r="104" customFormat="false" ht="90.75" hidden="false" customHeight="true" outlineLevel="0" collapsed="false">
      <c r="A104" s="4" t="s">
        <v>690</v>
      </c>
      <c r="B104" s="4" t="s">
        <v>530</v>
      </c>
      <c r="C104" s="4" t="s">
        <v>631</v>
      </c>
      <c r="D104" s="4" t="s">
        <v>566</v>
      </c>
      <c r="E104" s="4" t="s">
        <v>83</v>
      </c>
      <c r="F104" s="4" t="s">
        <v>633</v>
      </c>
      <c r="G104" s="4" t="s">
        <v>76</v>
      </c>
      <c r="H104" s="4" t="s">
        <v>156</v>
      </c>
      <c r="I104" s="4" t="s">
        <v>77</v>
      </c>
      <c r="J104" s="4" t="s">
        <v>107</v>
      </c>
      <c r="K104" s="4" t="s">
        <v>198</v>
      </c>
      <c r="L104" s="4" t="s">
        <v>48</v>
      </c>
      <c r="M104" s="4" t="s">
        <v>49</v>
      </c>
      <c r="N104" s="4" t="s">
        <v>50</v>
      </c>
      <c r="O104" s="4" t="s">
        <v>691</v>
      </c>
      <c r="P104" s="4" t="s">
        <v>635</v>
      </c>
      <c r="Q104" s="4" t="s">
        <v>51</v>
      </c>
      <c r="R104" s="4" t="s">
        <v>692</v>
      </c>
      <c r="S104" s="16" t="n">
        <f aca="false">IF(ISNUMBER(SEARCH("E0",$H104)),1,0)</f>
        <v>0</v>
      </c>
      <c r="T104" s="16" t="n">
        <f aca="false">IF(ISNUMBER(SEARCH("E1",$H104)),1,0)</f>
        <v>0</v>
      </c>
      <c r="U104" s="16" t="n">
        <f aca="false">IF(ISNUMBER(SEARCH("E2",$H104)),1,0)</f>
        <v>0</v>
      </c>
      <c r="V104" s="16" t="n">
        <f aca="false">IF(ISNUMBER(SEARCH("E3",$H104)),1,0)</f>
        <v>0</v>
      </c>
      <c r="W104" s="16" t="n">
        <f aca="false">IF(ISNUMBER(SEARCH("E4",$H104)),1,0)</f>
        <v>0</v>
      </c>
      <c r="X104" s="16" t="n">
        <f aca="false">IF(ISNUMBER(SEARCH("E5",$H104)),1,0)</f>
        <v>0</v>
      </c>
      <c r="Y104" s="16" t="n">
        <f aca="false">IF(ISNUMBER(SEARCH("E6",$H104)),1,0)</f>
        <v>0</v>
      </c>
      <c r="Z104" s="16" t="n">
        <f aca="false">IF(ISNUMBER(SEARCH("E7",$H104)),1,0)</f>
        <v>0</v>
      </c>
      <c r="AA104" s="16" t="n">
        <f aca="false">IF(ISNUMBER(SEARCH("E8",$H104)),1,0)</f>
        <v>1</v>
      </c>
      <c r="AB104" s="16" t="n">
        <f aca="false">IF(ISNUMBER(SEARCH("E9",$H104)),1,0)</f>
        <v>0</v>
      </c>
      <c r="AC104" s="16" t="n">
        <f aca="false">IF(ISNUMBER(SEARCH("TR",$H104)),1,0)</f>
        <v>0</v>
      </c>
      <c r="AD104" s="10" t="s">
        <v>191</v>
      </c>
      <c r="AE104" s="17" t="n">
        <f aca="false">IF(ISNUMBER(SEARCH("S0",$AD104)),1,0)</f>
        <v>0</v>
      </c>
      <c r="AF104" s="17" t="n">
        <f aca="false">IF(ISNUMBER(SEARCH("R01",$AD104)),1,0)</f>
        <v>0</v>
      </c>
      <c r="AG104" s="17" t="n">
        <f aca="false">IF(ISNUMBER(SEARCH("R02R03",$AD104)),1,0)</f>
        <v>0</v>
      </c>
      <c r="AH104" s="17" t="n">
        <f aca="false">IF(ISNUMBER(SEARCH("R04",$AD104)),1,0)</f>
        <v>0</v>
      </c>
      <c r="AI104" s="17" t="n">
        <f aca="false">IF(ISNUMBER(SEARCH("R05",$AD104)),1,0)</f>
        <v>0</v>
      </c>
      <c r="AJ104" s="17" t="n">
        <f aca="false">IF(ISNUMBER(SEARCH("S3R06",$AD104)),1,0)</f>
        <v>0</v>
      </c>
      <c r="AK104" s="17" t="n">
        <f aca="false">IF(ISNUMBER(SEARCH("R07",$AD104)),1,0)</f>
        <v>0</v>
      </c>
      <c r="AL104" s="17" t="n">
        <f aca="false">IF(ISNUMBER(SEARCH("R09",$AD104)),1,0)</f>
        <v>0</v>
      </c>
      <c r="AM104" s="17" t="n">
        <f aca="false">IF(ISNUMBER(SEARCH("R10",$AD104)),1,0)</f>
        <v>0</v>
      </c>
      <c r="AN104" s="17" t="n">
        <f aca="false">IF(ISNUMBER(SEARCH("S5",$AD104)),1,0)</f>
        <v>1</v>
      </c>
      <c r="AO104" s="17" t="n">
        <f aca="false">IF(ISNUMBER(SEARCH("S6",$AD104)),1,0)</f>
        <v>0</v>
      </c>
      <c r="AP104" s="17" t="n">
        <f aca="false">IF(ISNUMBER(SEARCH("TR",$AD104)),1,0)</f>
        <v>0</v>
      </c>
    </row>
    <row r="105" customFormat="false" ht="34.5" hidden="false" customHeight="true" outlineLevel="0" collapsed="false">
      <c r="A105" s="4" t="s">
        <v>693</v>
      </c>
      <c r="B105" s="4" t="s">
        <v>389</v>
      </c>
      <c r="C105" s="4" t="s">
        <v>694</v>
      </c>
      <c r="D105" s="4" t="s">
        <v>695</v>
      </c>
      <c r="E105" s="4" t="s">
        <v>66</v>
      </c>
      <c r="F105" s="4" t="s">
        <v>197</v>
      </c>
      <c r="G105" s="4" t="s">
        <v>45</v>
      </c>
      <c r="H105" s="4" t="s">
        <v>581</v>
      </c>
      <c r="I105" s="4" t="s">
        <v>46</v>
      </c>
      <c r="J105" s="4" t="s">
        <v>47</v>
      </c>
      <c r="K105" s="4" t="s">
        <v>198</v>
      </c>
      <c r="L105" s="4" t="s">
        <v>95</v>
      </c>
      <c r="M105" s="4" t="s">
        <v>49</v>
      </c>
      <c r="N105" s="4" t="s">
        <v>50</v>
      </c>
      <c r="O105" s="4" t="s">
        <v>696</v>
      </c>
      <c r="P105" s="4" t="s">
        <v>697</v>
      </c>
      <c r="Q105" s="4" t="s">
        <v>51</v>
      </c>
      <c r="R105" s="4" t="s">
        <v>698</v>
      </c>
      <c r="S105" s="16" t="n">
        <f aca="false">IF(ISNUMBER(SEARCH("E0",$H105)),1,0)</f>
        <v>1</v>
      </c>
      <c r="T105" s="16" t="n">
        <f aca="false">IF(ISNUMBER(SEARCH("E1",$H105)),1,0)</f>
        <v>0</v>
      </c>
      <c r="U105" s="16" t="n">
        <f aca="false">IF(ISNUMBER(SEARCH("E2",$H105)),1,0)</f>
        <v>0</v>
      </c>
      <c r="V105" s="16" t="n">
        <f aca="false">IF(ISNUMBER(SEARCH("E3",$H105)),1,0)</f>
        <v>1</v>
      </c>
      <c r="W105" s="16" t="n">
        <f aca="false">IF(ISNUMBER(SEARCH("E4",$H105)),1,0)</f>
        <v>1</v>
      </c>
      <c r="X105" s="16" t="n">
        <f aca="false">IF(ISNUMBER(SEARCH("E5",$H105)),1,0)</f>
        <v>0</v>
      </c>
      <c r="Y105" s="16" t="n">
        <f aca="false">IF(ISNUMBER(SEARCH("E6",$H105)),1,0)</f>
        <v>0</v>
      </c>
      <c r="Z105" s="16" t="n">
        <f aca="false">IF(ISNUMBER(SEARCH("E7",$H105)),1,0)</f>
        <v>0</v>
      </c>
      <c r="AA105" s="16" t="n">
        <f aca="false">IF(ISNUMBER(SEARCH("E8",$H105)),1,0)</f>
        <v>0</v>
      </c>
      <c r="AB105" s="16" t="n">
        <f aca="false">IF(ISNUMBER(SEARCH("E9",$H105)),1,0)</f>
        <v>0</v>
      </c>
      <c r="AC105" s="16" t="n">
        <f aca="false">IF(ISNUMBER(SEARCH("TR",$H105)),1,0)</f>
        <v>0</v>
      </c>
      <c r="AD105" s="10" t="s">
        <v>584</v>
      </c>
      <c r="AE105" s="17" t="n">
        <f aca="false">IF(ISNUMBER(SEARCH("S0",$AD105)),1,0)</f>
        <v>1</v>
      </c>
      <c r="AF105" s="17" t="n">
        <f aca="false">IF(ISNUMBER(SEARCH("R01",$AD105)),1,0)</f>
        <v>0</v>
      </c>
      <c r="AG105" s="17" t="n">
        <f aca="false">IF(ISNUMBER(SEARCH("R02R03",$AD105)),1,0)</f>
        <v>0</v>
      </c>
      <c r="AH105" s="17" t="n">
        <f aca="false">IF(ISNUMBER(SEARCH("R04",$AD105)),1,0)</f>
        <v>1</v>
      </c>
      <c r="AI105" s="17" t="n">
        <f aca="false">IF(ISNUMBER(SEARCH("R05",$AD105)),1,0)</f>
        <v>1</v>
      </c>
      <c r="AJ105" s="17" t="n">
        <f aca="false">IF(ISNUMBER(SEARCH("S3R06",$AD105)),1,0)</f>
        <v>0</v>
      </c>
      <c r="AK105" s="17" t="n">
        <f aca="false">IF(ISNUMBER(SEARCH("R07",$AD105)),1,0)</f>
        <v>0</v>
      </c>
      <c r="AL105" s="17" t="n">
        <f aca="false">IF(ISNUMBER(SEARCH("R09",$AD105)),1,0)</f>
        <v>0</v>
      </c>
      <c r="AM105" s="17" t="n">
        <f aca="false">IF(ISNUMBER(SEARCH("R10",$AD105)),1,0)</f>
        <v>0</v>
      </c>
      <c r="AN105" s="17" t="n">
        <f aca="false">IF(ISNUMBER(SEARCH("S5",$AD105)),1,0)</f>
        <v>0</v>
      </c>
      <c r="AO105" s="17" t="n">
        <f aca="false">IF(ISNUMBER(SEARCH("S6",$AD105)),1,0)</f>
        <v>0</v>
      </c>
      <c r="AP105" s="17" t="n">
        <f aca="false">IF(ISNUMBER(SEARCH("TR",$AD105)),1,0)</f>
        <v>0</v>
      </c>
    </row>
    <row r="106" customFormat="false" ht="34.5" hidden="false" customHeight="true" outlineLevel="0" collapsed="false">
      <c r="A106" s="4" t="s">
        <v>699</v>
      </c>
      <c r="B106" s="4" t="s">
        <v>389</v>
      </c>
      <c r="C106" s="4" t="s">
        <v>694</v>
      </c>
      <c r="D106" s="4" t="s">
        <v>700</v>
      </c>
      <c r="E106" s="4" t="s">
        <v>66</v>
      </c>
      <c r="F106" s="4" t="s">
        <v>197</v>
      </c>
      <c r="G106" s="4" t="s">
        <v>110</v>
      </c>
      <c r="H106" s="4" t="s">
        <v>701</v>
      </c>
      <c r="I106" s="4" t="s">
        <v>46</v>
      </c>
      <c r="J106" s="4" t="s">
        <v>47</v>
      </c>
      <c r="K106" s="4" t="s">
        <v>198</v>
      </c>
      <c r="L106" s="4" t="s">
        <v>95</v>
      </c>
      <c r="M106" s="4" t="s">
        <v>49</v>
      </c>
      <c r="N106" s="4" t="s">
        <v>50</v>
      </c>
      <c r="O106" s="4" t="s">
        <v>702</v>
      </c>
      <c r="P106" s="4" t="s">
        <v>697</v>
      </c>
      <c r="Q106" s="4" t="s">
        <v>51</v>
      </c>
      <c r="R106" s="4" t="s">
        <v>703</v>
      </c>
      <c r="S106" s="16" t="n">
        <f aca="false">IF(ISNUMBER(SEARCH("E0",$H106)),1,0)</f>
        <v>0</v>
      </c>
      <c r="T106" s="16" t="n">
        <f aca="false">IF(ISNUMBER(SEARCH("E1",$H106)),1,0)</f>
        <v>1</v>
      </c>
      <c r="U106" s="16" t="n">
        <f aca="false">IF(ISNUMBER(SEARCH("E2",$H106)),1,0)</f>
        <v>0</v>
      </c>
      <c r="V106" s="16" t="n">
        <f aca="false">IF(ISNUMBER(SEARCH("E3",$H106)),1,0)</f>
        <v>1</v>
      </c>
      <c r="W106" s="16" t="n">
        <f aca="false">IF(ISNUMBER(SEARCH("E4",$H106)),1,0)</f>
        <v>1</v>
      </c>
      <c r="X106" s="16" t="n">
        <f aca="false">IF(ISNUMBER(SEARCH("E5",$H106)),1,0)</f>
        <v>0</v>
      </c>
      <c r="Y106" s="16" t="n">
        <f aca="false">IF(ISNUMBER(SEARCH("E6",$H106)),1,0)</f>
        <v>0</v>
      </c>
      <c r="Z106" s="16" t="n">
        <f aca="false">IF(ISNUMBER(SEARCH("E7",$H106)),1,0)</f>
        <v>0</v>
      </c>
      <c r="AA106" s="16" t="n">
        <f aca="false">IF(ISNUMBER(SEARCH("E8",$H106)),1,0)</f>
        <v>0</v>
      </c>
      <c r="AB106" s="16" t="n">
        <f aca="false">IF(ISNUMBER(SEARCH("E9",$H106)),1,0)</f>
        <v>0</v>
      </c>
      <c r="AC106" s="16" t="n">
        <f aca="false">IF(ISNUMBER(SEARCH("TR",$H106)),1,0)</f>
        <v>0</v>
      </c>
      <c r="AD106" s="10" t="s">
        <v>704</v>
      </c>
      <c r="AE106" s="17" t="n">
        <f aca="false">IF(ISNUMBER(SEARCH("S0",$AD106)),1,0)</f>
        <v>0</v>
      </c>
      <c r="AF106" s="17" t="n">
        <f aca="false">IF(ISNUMBER(SEARCH("R01",$AD106)),1,0)</f>
        <v>0</v>
      </c>
      <c r="AG106" s="17" t="n">
        <f aca="false">IF(ISNUMBER(SEARCH("R02R03",$AD106)),1,0)</f>
        <v>0</v>
      </c>
      <c r="AH106" s="17" t="n">
        <f aca="false">IF(ISNUMBER(SEARCH("R04",$AD106)),1,0)</f>
        <v>1</v>
      </c>
      <c r="AI106" s="17" t="n">
        <f aca="false">IF(ISNUMBER(SEARCH("R05",$AD106)),1,0)</f>
        <v>1</v>
      </c>
      <c r="AJ106" s="17" t="n">
        <f aca="false">IF(ISNUMBER(SEARCH("S3R06",$AD106)),1,0)</f>
        <v>0</v>
      </c>
      <c r="AK106" s="17" t="n">
        <f aca="false">IF(ISNUMBER(SEARCH("R07",$AD106)),1,0)</f>
        <v>1</v>
      </c>
      <c r="AL106" s="17" t="n">
        <f aca="false">IF(ISNUMBER(SEARCH("R09",$AD106)),1,0)</f>
        <v>0</v>
      </c>
      <c r="AM106" s="17" t="n">
        <f aca="false">IF(ISNUMBER(SEARCH("R10",$AD106)),1,0)</f>
        <v>0</v>
      </c>
      <c r="AN106" s="17" t="n">
        <f aca="false">IF(ISNUMBER(SEARCH("S5",$AD106)),1,0)</f>
        <v>0</v>
      </c>
      <c r="AO106" s="17" t="n">
        <f aca="false">IF(ISNUMBER(SEARCH("S6",$AD106)),1,0)</f>
        <v>0</v>
      </c>
      <c r="AP106" s="17" t="n">
        <f aca="false">IF(ISNUMBER(SEARCH("TR",$AD106)),1,0)</f>
        <v>0</v>
      </c>
    </row>
    <row r="107" customFormat="false" ht="57" hidden="false" customHeight="true" outlineLevel="0" collapsed="false">
      <c r="A107" s="4" t="s">
        <v>705</v>
      </c>
      <c r="B107" s="4" t="s">
        <v>389</v>
      </c>
      <c r="C107" s="4" t="s">
        <v>694</v>
      </c>
      <c r="D107" s="4" t="s">
        <v>706</v>
      </c>
      <c r="E107" s="4" t="s">
        <v>66</v>
      </c>
      <c r="F107" s="4" t="s">
        <v>197</v>
      </c>
      <c r="G107" s="4" t="s">
        <v>45</v>
      </c>
      <c r="H107" s="4" t="s">
        <v>707</v>
      </c>
      <c r="I107" s="4" t="s">
        <v>57</v>
      </c>
      <c r="J107" s="4" t="s">
        <v>47</v>
      </c>
      <c r="K107" s="4" t="s">
        <v>708</v>
      </c>
      <c r="L107" s="4" t="s">
        <v>95</v>
      </c>
      <c r="M107" s="4" t="s">
        <v>49</v>
      </c>
      <c r="N107" s="4" t="s">
        <v>61</v>
      </c>
      <c r="O107" s="4" t="s">
        <v>709</v>
      </c>
      <c r="P107" s="4" t="s">
        <v>697</v>
      </c>
      <c r="Q107" s="4" t="s">
        <v>51</v>
      </c>
      <c r="R107" s="4" t="s">
        <v>710</v>
      </c>
      <c r="S107" s="16" t="n">
        <f aca="false">IF(ISNUMBER(SEARCH("E0",$H107)),1,0)</f>
        <v>0</v>
      </c>
      <c r="T107" s="16" t="n">
        <f aca="false">IF(ISNUMBER(SEARCH("E1",$H107)),1,0)</f>
        <v>0</v>
      </c>
      <c r="U107" s="16" t="n">
        <f aca="false">IF(ISNUMBER(SEARCH("E2",$H107)),1,0)</f>
        <v>0</v>
      </c>
      <c r="V107" s="16" t="n">
        <f aca="false">IF(ISNUMBER(SEARCH("E3",$H107)),1,0)</f>
        <v>1</v>
      </c>
      <c r="W107" s="16" t="n">
        <f aca="false">IF(ISNUMBER(SEARCH("E4",$H107)),1,0)</f>
        <v>1</v>
      </c>
      <c r="X107" s="16" t="n">
        <f aca="false">IF(ISNUMBER(SEARCH("E5",$H107)),1,0)</f>
        <v>0</v>
      </c>
      <c r="Y107" s="16" t="n">
        <f aca="false">IF(ISNUMBER(SEARCH("E6",$H107)),1,0)</f>
        <v>0</v>
      </c>
      <c r="Z107" s="16" t="n">
        <f aca="false">IF(ISNUMBER(SEARCH("E7",$H107)),1,0)</f>
        <v>0</v>
      </c>
      <c r="AA107" s="16" t="n">
        <f aca="false">IF(ISNUMBER(SEARCH("E8",$H107)),1,0)</f>
        <v>0</v>
      </c>
      <c r="AB107" s="16" t="n">
        <f aca="false">IF(ISNUMBER(SEARCH("E9",$H107)),1,0)</f>
        <v>1</v>
      </c>
      <c r="AC107" s="16" t="n">
        <f aca="false">IF(ISNUMBER(SEARCH("TR",$H107)),1,0)</f>
        <v>0</v>
      </c>
      <c r="AD107" s="10" t="s">
        <v>711</v>
      </c>
      <c r="AE107" s="17" t="n">
        <f aca="false">IF(ISNUMBER(SEARCH("S0",$AD107)),1,0)</f>
        <v>0</v>
      </c>
      <c r="AF107" s="17" t="n">
        <f aca="false">IF(ISNUMBER(SEARCH("R01",$AD107)),1,0)</f>
        <v>0</v>
      </c>
      <c r="AG107" s="17" t="n">
        <f aca="false">IF(ISNUMBER(SEARCH("R02R03",$AD107)),1,0)</f>
        <v>0</v>
      </c>
      <c r="AH107" s="17" t="n">
        <f aca="false">IF(ISNUMBER(SEARCH("R04",$AD107)),1,0)</f>
        <v>1</v>
      </c>
      <c r="AI107" s="17" t="n">
        <f aca="false">IF(ISNUMBER(SEARCH("R05",$AD107)),1,0)</f>
        <v>1</v>
      </c>
      <c r="AJ107" s="17" t="n">
        <f aca="false">IF(ISNUMBER(SEARCH("S3R06",$AD107)),1,0)</f>
        <v>0</v>
      </c>
      <c r="AK107" s="17" t="n">
        <f aca="false">IF(ISNUMBER(SEARCH("R07",$AD107)),1,0)</f>
        <v>0</v>
      </c>
      <c r="AL107" s="17" t="n">
        <f aca="false">IF(ISNUMBER(SEARCH("R09",$AD107)),1,0)</f>
        <v>0</v>
      </c>
      <c r="AM107" s="17" t="n">
        <f aca="false">IF(ISNUMBER(SEARCH("R10",$AD107)),1,0)</f>
        <v>0</v>
      </c>
      <c r="AN107" s="17" t="n">
        <f aca="false">IF(ISNUMBER(SEARCH("S5",$AD107)),1,0)</f>
        <v>0</v>
      </c>
      <c r="AO107" s="17" t="n">
        <f aca="false">IF(ISNUMBER(SEARCH("S6",$AD107)),1,0)</f>
        <v>1</v>
      </c>
      <c r="AP107" s="17" t="n">
        <f aca="false">IF(ISNUMBER(SEARCH("TR",$AD107)),1,0)</f>
        <v>0</v>
      </c>
    </row>
    <row r="108" customFormat="false" ht="45.75" hidden="false" customHeight="true" outlineLevel="0" collapsed="false">
      <c r="A108" s="4" t="s">
        <v>712</v>
      </c>
      <c r="B108" s="4" t="s">
        <v>389</v>
      </c>
      <c r="C108" s="4" t="s">
        <v>694</v>
      </c>
      <c r="D108" s="4" t="s">
        <v>713</v>
      </c>
      <c r="E108" s="4" t="s">
        <v>66</v>
      </c>
      <c r="F108" s="4" t="s">
        <v>197</v>
      </c>
      <c r="G108" s="4" t="s">
        <v>92</v>
      </c>
      <c r="H108" s="4" t="s">
        <v>161</v>
      </c>
      <c r="I108" s="4" t="s">
        <v>99</v>
      </c>
      <c r="J108" s="4" t="s">
        <v>47</v>
      </c>
      <c r="K108" s="4" t="s">
        <v>198</v>
      </c>
      <c r="L108" s="4" t="s">
        <v>59</v>
      </c>
      <c r="M108" s="4" t="s">
        <v>49</v>
      </c>
      <c r="N108" s="4" t="s">
        <v>61</v>
      </c>
      <c r="O108" s="4" t="s">
        <v>714</v>
      </c>
      <c r="P108" s="4" t="s">
        <v>697</v>
      </c>
      <c r="Q108" s="4" t="s">
        <v>51</v>
      </c>
      <c r="R108" s="4" t="s">
        <v>715</v>
      </c>
      <c r="S108" s="16" t="n">
        <f aca="false">IF(ISNUMBER(SEARCH("E0",$H108)),1,0)</f>
        <v>0</v>
      </c>
      <c r="T108" s="16" t="n">
        <f aca="false">IF(ISNUMBER(SEARCH("E1",$H108)),1,0)</f>
        <v>0</v>
      </c>
      <c r="U108" s="16" t="n">
        <f aca="false">IF(ISNUMBER(SEARCH("E2",$H108)),1,0)</f>
        <v>0</v>
      </c>
      <c r="V108" s="16" t="n">
        <f aca="false">IF(ISNUMBER(SEARCH("E3",$H108)),1,0)</f>
        <v>0</v>
      </c>
      <c r="W108" s="16" t="n">
        <f aca="false">IF(ISNUMBER(SEARCH("E4",$H108)),1,0)</f>
        <v>0</v>
      </c>
      <c r="X108" s="16" t="n">
        <f aca="false">IF(ISNUMBER(SEARCH("E5",$H108)),1,0)</f>
        <v>0</v>
      </c>
      <c r="Y108" s="16" t="n">
        <f aca="false">IF(ISNUMBER(SEARCH("E6",$H108)),1,0)</f>
        <v>0</v>
      </c>
      <c r="Z108" s="16" t="n">
        <f aca="false">IF(ISNUMBER(SEARCH("E7",$H108)),1,0)</f>
        <v>0</v>
      </c>
      <c r="AA108" s="16" t="n">
        <f aca="false">IF(ISNUMBER(SEARCH("E8",$H108)),1,0)</f>
        <v>0</v>
      </c>
      <c r="AB108" s="16" t="n">
        <f aca="false">IF(ISNUMBER(SEARCH("E9",$H108)),1,0)</f>
        <v>0</v>
      </c>
      <c r="AC108" s="16" t="n">
        <f aca="false">IF(ISNUMBER(SEARCH("TR",$H108)),1,0)</f>
        <v>1</v>
      </c>
      <c r="AD108" s="10" t="s">
        <v>161</v>
      </c>
      <c r="AE108" s="17" t="n">
        <f aca="false">IF(ISNUMBER(SEARCH("S0",$AD108)),1,0)</f>
        <v>0</v>
      </c>
      <c r="AF108" s="17" t="n">
        <f aca="false">IF(ISNUMBER(SEARCH("R01",$AD108)),1,0)</f>
        <v>0</v>
      </c>
      <c r="AG108" s="17" t="n">
        <f aca="false">IF(ISNUMBER(SEARCH("R02R03",$AD108)),1,0)</f>
        <v>0</v>
      </c>
      <c r="AH108" s="17" t="n">
        <f aca="false">IF(ISNUMBER(SEARCH("R04",$AD108)),1,0)</f>
        <v>0</v>
      </c>
      <c r="AI108" s="17" t="n">
        <f aca="false">IF(ISNUMBER(SEARCH("R05",$AD108)),1,0)</f>
        <v>0</v>
      </c>
      <c r="AJ108" s="17" t="n">
        <f aca="false">IF(ISNUMBER(SEARCH("S3R06",$AD108)),1,0)</f>
        <v>0</v>
      </c>
      <c r="AK108" s="17" t="n">
        <f aca="false">IF(ISNUMBER(SEARCH("R07",$AD108)),1,0)</f>
        <v>0</v>
      </c>
      <c r="AL108" s="17" t="n">
        <f aca="false">IF(ISNUMBER(SEARCH("R09",$AD108)),1,0)</f>
        <v>0</v>
      </c>
      <c r="AM108" s="17" t="n">
        <f aca="false">IF(ISNUMBER(SEARCH("R10",$AD108)),1,0)</f>
        <v>0</v>
      </c>
      <c r="AN108" s="17" t="n">
        <f aca="false">IF(ISNUMBER(SEARCH("S5",$AD108)),1,0)</f>
        <v>0</v>
      </c>
      <c r="AO108" s="17" t="n">
        <f aca="false">IF(ISNUMBER(SEARCH("S6",$AD108)),1,0)</f>
        <v>0</v>
      </c>
      <c r="AP108" s="17" t="n">
        <f aca="false">IF(ISNUMBER(SEARCH("TR",$AD108)),1,0)</f>
        <v>1</v>
      </c>
    </row>
    <row r="109" customFormat="false" ht="79.5" hidden="false" customHeight="true" outlineLevel="0" collapsed="false">
      <c r="A109" s="4" t="s">
        <v>716</v>
      </c>
      <c r="B109" s="4" t="s">
        <v>389</v>
      </c>
      <c r="C109" s="4" t="s">
        <v>694</v>
      </c>
      <c r="D109" s="4" t="s">
        <v>717</v>
      </c>
      <c r="E109" s="4" t="s">
        <v>66</v>
      </c>
      <c r="F109" s="4" t="s">
        <v>197</v>
      </c>
      <c r="G109" s="4" t="s">
        <v>110</v>
      </c>
      <c r="H109" s="4" t="s">
        <v>244</v>
      </c>
      <c r="I109" s="4" t="s">
        <v>77</v>
      </c>
      <c r="J109" s="4" t="s">
        <v>47</v>
      </c>
      <c r="K109" s="4" t="s">
        <v>198</v>
      </c>
      <c r="L109" s="4" t="s">
        <v>95</v>
      </c>
      <c r="M109" s="4" t="s">
        <v>49</v>
      </c>
      <c r="N109" s="4" t="s">
        <v>50</v>
      </c>
      <c r="O109" s="4" t="s">
        <v>718</v>
      </c>
      <c r="P109" s="4" t="s">
        <v>697</v>
      </c>
      <c r="Q109" s="4" t="s">
        <v>51</v>
      </c>
      <c r="R109" s="4" t="s">
        <v>719</v>
      </c>
      <c r="S109" s="16" t="n">
        <f aca="false">IF(ISNUMBER(SEARCH("E0",$H109)),1,0)</f>
        <v>0</v>
      </c>
      <c r="T109" s="16" t="n">
        <f aca="false">IF(ISNUMBER(SEARCH("E1",$H109)),1,0)</f>
        <v>0</v>
      </c>
      <c r="U109" s="16" t="n">
        <f aca="false">IF(ISNUMBER(SEARCH("E2",$H109)),1,0)</f>
        <v>0</v>
      </c>
      <c r="V109" s="16" t="n">
        <f aca="false">IF(ISNUMBER(SEARCH("E3",$H109)),1,0)</f>
        <v>0</v>
      </c>
      <c r="W109" s="16" t="n">
        <f aca="false">IF(ISNUMBER(SEARCH("E4",$H109)),1,0)</f>
        <v>1</v>
      </c>
      <c r="X109" s="16" t="n">
        <f aca="false">IF(ISNUMBER(SEARCH("E5",$H109)),1,0)</f>
        <v>0</v>
      </c>
      <c r="Y109" s="16" t="n">
        <f aca="false">IF(ISNUMBER(SEARCH("E6",$H109)),1,0)</f>
        <v>0</v>
      </c>
      <c r="Z109" s="16" t="n">
        <f aca="false">IF(ISNUMBER(SEARCH("E7",$H109)),1,0)</f>
        <v>1</v>
      </c>
      <c r="AA109" s="16" t="n">
        <f aca="false">IF(ISNUMBER(SEARCH("E8",$H109)),1,0)</f>
        <v>1</v>
      </c>
      <c r="AB109" s="16" t="n">
        <f aca="false">IF(ISNUMBER(SEARCH("E9",$H109)),1,0)</f>
        <v>0</v>
      </c>
      <c r="AC109" s="16" t="n">
        <f aca="false">IF(ISNUMBER(SEARCH("TR",$H109)),1,0)</f>
        <v>0</v>
      </c>
      <c r="AD109" s="10" t="s">
        <v>248</v>
      </c>
      <c r="AE109" s="17" t="n">
        <f aca="false">IF(ISNUMBER(SEARCH("S0",$AD109)),1,0)</f>
        <v>0</v>
      </c>
      <c r="AF109" s="17" t="n">
        <f aca="false">IF(ISNUMBER(SEARCH("R01",$AD109)),1,0)</f>
        <v>0</v>
      </c>
      <c r="AG109" s="17" t="n">
        <f aca="false">IF(ISNUMBER(SEARCH("R02R03",$AD109)),1,0)</f>
        <v>0</v>
      </c>
      <c r="AH109" s="17" t="n">
        <f aca="false">IF(ISNUMBER(SEARCH("R04",$AD109)),1,0)</f>
        <v>0</v>
      </c>
      <c r="AI109" s="17" t="n">
        <f aca="false">IF(ISNUMBER(SEARCH("R05",$AD109)),1,0)</f>
        <v>1</v>
      </c>
      <c r="AJ109" s="17" t="n">
        <f aca="false">IF(ISNUMBER(SEARCH("S3R06",$AD109)),1,0)</f>
        <v>0</v>
      </c>
      <c r="AK109" s="17" t="n">
        <f aca="false">IF(ISNUMBER(SEARCH("R07",$AD109)),1,0)</f>
        <v>1</v>
      </c>
      <c r="AL109" s="17" t="n">
        <f aca="false">IF(ISNUMBER(SEARCH("R09",$AD109)),1,0)</f>
        <v>0</v>
      </c>
      <c r="AM109" s="17" t="n">
        <f aca="false">IF(ISNUMBER(SEARCH("R10",$AD109)),1,0)</f>
        <v>1</v>
      </c>
      <c r="AN109" s="17" t="n">
        <f aca="false">IF(ISNUMBER(SEARCH("S5",$AD109)),1,0)</f>
        <v>1</v>
      </c>
      <c r="AO109" s="17" t="n">
        <f aca="false">IF(ISNUMBER(SEARCH("S6",$AD109)),1,0)</f>
        <v>0</v>
      </c>
      <c r="AP109" s="17" t="n">
        <f aca="false">IF(ISNUMBER(SEARCH("TR",$AD109)),1,0)</f>
        <v>0</v>
      </c>
    </row>
    <row r="110" customFormat="false" ht="45.75" hidden="false" customHeight="true" outlineLevel="0" collapsed="false">
      <c r="A110" s="4" t="s">
        <v>720</v>
      </c>
      <c r="B110" s="4" t="s">
        <v>389</v>
      </c>
      <c r="C110" s="4" t="s">
        <v>694</v>
      </c>
      <c r="D110" s="4" t="s">
        <v>721</v>
      </c>
      <c r="E110" s="4" t="s">
        <v>66</v>
      </c>
      <c r="F110" s="4" t="s">
        <v>197</v>
      </c>
      <c r="G110" s="4" t="s">
        <v>45</v>
      </c>
      <c r="H110" s="4" t="s">
        <v>519</v>
      </c>
      <c r="I110" s="4" t="s">
        <v>77</v>
      </c>
      <c r="J110" s="4" t="s">
        <v>47</v>
      </c>
      <c r="K110" s="4" t="s">
        <v>198</v>
      </c>
      <c r="L110" s="4" t="s">
        <v>95</v>
      </c>
      <c r="M110" s="4" t="s">
        <v>49</v>
      </c>
      <c r="N110" s="4" t="s">
        <v>61</v>
      </c>
      <c r="O110" s="4" t="s">
        <v>722</v>
      </c>
      <c r="P110" s="4" t="s">
        <v>697</v>
      </c>
      <c r="Q110" s="4" t="s">
        <v>51</v>
      </c>
      <c r="R110" s="4" t="s">
        <v>723</v>
      </c>
      <c r="S110" s="16" t="n">
        <f aca="false">IF(ISNUMBER(SEARCH("E0",$H110)),1,0)</f>
        <v>0</v>
      </c>
      <c r="T110" s="16" t="n">
        <f aca="false">IF(ISNUMBER(SEARCH("E1",$H110)),1,0)</f>
        <v>0</v>
      </c>
      <c r="U110" s="16" t="n">
        <f aca="false">IF(ISNUMBER(SEARCH("E2",$H110)),1,0)</f>
        <v>0</v>
      </c>
      <c r="V110" s="16" t="n">
        <f aca="false">IF(ISNUMBER(SEARCH("E3",$H110)),1,0)</f>
        <v>0</v>
      </c>
      <c r="W110" s="16" t="n">
        <f aca="false">IF(ISNUMBER(SEARCH("E4",$H110)),1,0)</f>
        <v>1</v>
      </c>
      <c r="X110" s="16" t="n">
        <f aca="false">IF(ISNUMBER(SEARCH("E5",$H110)),1,0)</f>
        <v>1</v>
      </c>
      <c r="Y110" s="16" t="n">
        <f aca="false">IF(ISNUMBER(SEARCH("E6",$H110)),1,0)</f>
        <v>0</v>
      </c>
      <c r="Z110" s="16" t="n">
        <f aca="false">IF(ISNUMBER(SEARCH("E7",$H110)),1,0)</f>
        <v>0</v>
      </c>
      <c r="AA110" s="16" t="n">
        <f aca="false">IF(ISNUMBER(SEARCH("E8",$H110)),1,0)</f>
        <v>1</v>
      </c>
      <c r="AB110" s="16" t="n">
        <f aca="false">IF(ISNUMBER(SEARCH("E9",$H110)),1,0)</f>
        <v>0</v>
      </c>
      <c r="AC110" s="16" t="n">
        <f aca="false">IF(ISNUMBER(SEARCH("TR",$H110)),1,0)</f>
        <v>0</v>
      </c>
      <c r="AD110" s="10" t="s">
        <v>522</v>
      </c>
      <c r="AE110" s="17" t="n">
        <f aca="false">IF(ISNUMBER(SEARCH("S0",$AD110)),1,0)</f>
        <v>0</v>
      </c>
      <c r="AF110" s="17" t="n">
        <f aca="false">IF(ISNUMBER(SEARCH("R01",$AD110)),1,0)</f>
        <v>0</v>
      </c>
      <c r="AG110" s="17" t="n">
        <f aca="false">IF(ISNUMBER(SEARCH("R02R03",$AD110)),1,0)</f>
        <v>0</v>
      </c>
      <c r="AH110" s="17" t="n">
        <f aca="false">IF(ISNUMBER(SEARCH("R04",$AD110)),1,0)</f>
        <v>0</v>
      </c>
      <c r="AI110" s="17" t="n">
        <f aca="false">IF(ISNUMBER(SEARCH("R05",$AD110)),1,0)</f>
        <v>1</v>
      </c>
      <c r="AJ110" s="17" t="n">
        <f aca="false">IF(ISNUMBER(SEARCH("S3R06",$AD110)),1,0)</f>
        <v>1</v>
      </c>
      <c r="AK110" s="17" t="n">
        <f aca="false">IF(ISNUMBER(SEARCH("R07",$AD110)),1,0)</f>
        <v>0</v>
      </c>
      <c r="AL110" s="17" t="n">
        <f aca="false">IF(ISNUMBER(SEARCH("R09",$AD110)),1,0)</f>
        <v>0</v>
      </c>
      <c r="AM110" s="17" t="n">
        <f aca="false">IF(ISNUMBER(SEARCH("R10",$AD110)),1,0)</f>
        <v>0</v>
      </c>
      <c r="AN110" s="17" t="n">
        <f aca="false">IF(ISNUMBER(SEARCH("S5",$AD110)),1,0)</f>
        <v>1</v>
      </c>
      <c r="AO110" s="17" t="n">
        <f aca="false">IF(ISNUMBER(SEARCH("S6",$AD110)),1,0)</f>
        <v>0</v>
      </c>
      <c r="AP110" s="17" t="n">
        <f aca="false">IF(ISNUMBER(SEARCH("TR",$AD110)),1,0)</f>
        <v>0</v>
      </c>
    </row>
    <row r="111" customFormat="false" ht="34.5" hidden="false" customHeight="true" outlineLevel="0" collapsed="false">
      <c r="A111" s="4" t="s">
        <v>724</v>
      </c>
      <c r="B111" s="4" t="s">
        <v>389</v>
      </c>
      <c r="C111" s="4" t="s">
        <v>694</v>
      </c>
      <c r="D111" s="4" t="s">
        <v>725</v>
      </c>
      <c r="E111" s="4" t="s">
        <v>66</v>
      </c>
      <c r="F111" s="4" t="s">
        <v>197</v>
      </c>
      <c r="G111" s="4" t="s">
        <v>67</v>
      </c>
      <c r="H111" s="4" t="s">
        <v>493</v>
      </c>
      <c r="I111" s="4" t="s">
        <v>77</v>
      </c>
      <c r="J111" s="4" t="s">
        <v>47</v>
      </c>
      <c r="K111" s="4" t="s">
        <v>726</v>
      </c>
      <c r="L111" s="4" t="s">
        <v>59</v>
      </c>
      <c r="M111" s="4" t="s">
        <v>49</v>
      </c>
      <c r="N111" s="4" t="s">
        <v>50</v>
      </c>
      <c r="O111" s="4" t="s">
        <v>727</v>
      </c>
      <c r="P111" s="4" t="s">
        <v>697</v>
      </c>
      <c r="Q111" s="4" t="s">
        <v>51</v>
      </c>
      <c r="R111" s="4" t="s">
        <v>728</v>
      </c>
      <c r="S111" s="16" t="n">
        <f aca="false">IF(ISNUMBER(SEARCH("E0",$H111)),1,0)</f>
        <v>0</v>
      </c>
      <c r="T111" s="16" t="n">
        <f aca="false">IF(ISNUMBER(SEARCH("E1",$H111)),1,0)</f>
        <v>1</v>
      </c>
      <c r="U111" s="16" t="n">
        <f aca="false">IF(ISNUMBER(SEARCH("E2",$H111)),1,0)</f>
        <v>0</v>
      </c>
      <c r="V111" s="16" t="n">
        <f aca="false">IF(ISNUMBER(SEARCH("E3",$H111)),1,0)</f>
        <v>0</v>
      </c>
      <c r="W111" s="16" t="n">
        <f aca="false">IF(ISNUMBER(SEARCH("E4",$H111)),1,0)</f>
        <v>1</v>
      </c>
      <c r="X111" s="16" t="n">
        <f aca="false">IF(ISNUMBER(SEARCH("E5",$H111)),1,0)</f>
        <v>0</v>
      </c>
      <c r="Y111" s="16" t="n">
        <f aca="false">IF(ISNUMBER(SEARCH("E6",$H111)),1,0)</f>
        <v>0</v>
      </c>
      <c r="Z111" s="16" t="n">
        <f aca="false">IF(ISNUMBER(SEARCH("E7",$H111)),1,0)</f>
        <v>1</v>
      </c>
      <c r="AA111" s="16" t="n">
        <f aca="false">IF(ISNUMBER(SEARCH("E8",$H111)),1,0)</f>
        <v>1</v>
      </c>
      <c r="AB111" s="16" t="n">
        <f aca="false">IF(ISNUMBER(SEARCH("E9",$H111)),1,0)</f>
        <v>0</v>
      </c>
      <c r="AC111" s="16" t="n">
        <f aca="false">IF(ISNUMBER(SEARCH("TR",$H111)),1,0)</f>
        <v>0</v>
      </c>
      <c r="AD111" s="10" t="s">
        <v>497</v>
      </c>
      <c r="AE111" s="17" t="n">
        <f aca="false">IF(ISNUMBER(SEARCH("S0",$AD111)),1,0)</f>
        <v>0</v>
      </c>
      <c r="AF111" s="17" t="n">
        <f aca="false">IF(ISNUMBER(SEARCH("R01",$AD111)),1,0)</f>
        <v>1</v>
      </c>
      <c r="AG111" s="17" t="n">
        <f aca="false">IF(ISNUMBER(SEARCH("R02R03",$AD111)),1,0)</f>
        <v>0</v>
      </c>
      <c r="AH111" s="17" t="n">
        <f aca="false">IF(ISNUMBER(SEARCH("R04",$AD111)),1,0)</f>
        <v>0</v>
      </c>
      <c r="AI111" s="17" t="n">
        <f aca="false">IF(ISNUMBER(SEARCH("R05",$AD111)),1,0)</f>
        <v>1</v>
      </c>
      <c r="AJ111" s="17" t="n">
        <f aca="false">IF(ISNUMBER(SEARCH("S3R06",$AD111)),1,0)</f>
        <v>0</v>
      </c>
      <c r="AK111" s="17" t="n">
        <f aca="false">IF(ISNUMBER(SEARCH("R07",$AD111)),1,0)</f>
        <v>0</v>
      </c>
      <c r="AL111" s="17" t="n">
        <f aca="false">IF(ISNUMBER(SEARCH("R09",$AD111)),1,0)</f>
        <v>0</v>
      </c>
      <c r="AM111" s="17" t="n">
        <f aca="false">IF(ISNUMBER(SEARCH("R10",$AD111)),1,0)</f>
        <v>1</v>
      </c>
      <c r="AN111" s="17" t="n">
        <f aca="false">IF(ISNUMBER(SEARCH("S5",$AD111)),1,0)</f>
        <v>1</v>
      </c>
      <c r="AO111" s="17" t="n">
        <f aca="false">IF(ISNUMBER(SEARCH("S6",$AD111)),1,0)</f>
        <v>0</v>
      </c>
      <c r="AP111" s="17" t="n">
        <f aca="false">IF(ISNUMBER(SEARCH("TR",$AD111)),1,0)</f>
        <v>0</v>
      </c>
    </row>
    <row r="112" customFormat="false" ht="45.75" hidden="false" customHeight="true" outlineLevel="0" collapsed="false">
      <c r="A112" s="4" t="s">
        <v>729</v>
      </c>
      <c r="B112" s="4" t="s">
        <v>389</v>
      </c>
      <c r="C112" s="4" t="s">
        <v>694</v>
      </c>
      <c r="D112" s="4" t="s">
        <v>730</v>
      </c>
      <c r="E112" s="4" t="s">
        <v>66</v>
      </c>
      <c r="F112" s="4" t="s">
        <v>197</v>
      </c>
      <c r="G112" s="4" t="s">
        <v>56</v>
      </c>
      <c r="H112" s="4" t="s">
        <v>158</v>
      </c>
      <c r="I112" s="4" t="s">
        <v>68</v>
      </c>
      <c r="J112" s="4" t="s">
        <v>47</v>
      </c>
      <c r="K112" s="4" t="s">
        <v>731</v>
      </c>
      <c r="L112" s="4" t="s">
        <v>95</v>
      </c>
      <c r="M112" s="4" t="s">
        <v>49</v>
      </c>
      <c r="N112" s="4" t="s">
        <v>72</v>
      </c>
      <c r="O112" s="4" t="s">
        <v>732</v>
      </c>
      <c r="P112" s="4" t="s">
        <v>697</v>
      </c>
      <c r="Q112" s="4" t="s">
        <v>51</v>
      </c>
      <c r="R112" s="4" t="s">
        <v>733</v>
      </c>
      <c r="S112" s="16" t="n">
        <f aca="false">IF(ISNUMBER(SEARCH("E0",$H112)),1,0)</f>
        <v>0</v>
      </c>
      <c r="T112" s="16" t="n">
        <f aca="false">IF(ISNUMBER(SEARCH("E1",$H112)),1,0)</f>
        <v>0</v>
      </c>
      <c r="U112" s="16" t="n">
        <f aca="false">IF(ISNUMBER(SEARCH("E2",$H112)),1,0)</f>
        <v>0</v>
      </c>
      <c r="V112" s="16" t="n">
        <f aca="false">IF(ISNUMBER(SEARCH("E3",$H112)),1,0)</f>
        <v>0</v>
      </c>
      <c r="W112" s="16" t="n">
        <f aca="false">IF(ISNUMBER(SEARCH("E4",$H112)),1,0)</f>
        <v>0</v>
      </c>
      <c r="X112" s="16" t="n">
        <f aca="false">IF(ISNUMBER(SEARCH("E5",$H112)),1,0)</f>
        <v>0</v>
      </c>
      <c r="Y112" s="16" t="n">
        <f aca="false">IF(ISNUMBER(SEARCH("E6",$H112)),1,0)</f>
        <v>0</v>
      </c>
      <c r="Z112" s="16" t="n">
        <f aca="false">IF(ISNUMBER(SEARCH("E7",$H112)),1,0)</f>
        <v>0</v>
      </c>
      <c r="AA112" s="16" t="n">
        <f aca="false">IF(ISNUMBER(SEARCH("E8",$H112)),1,0)</f>
        <v>0</v>
      </c>
      <c r="AB112" s="16" t="n">
        <f aca="false">IF(ISNUMBER(SEARCH("E9",$H112)),1,0)</f>
        <v>1</v>
      </c>
      <c r="AC112" s="16" t="n">
        <f aca="false">IF(ISNUMBER(SEARCH("TR",$H112)),1,0)</f>
        <v>0</v>
      </c>
      <c r="AD112" s="10" t="s">
        <v>192</v>
      </c>
      <c r="AE112" s="17" t="n">
        <f aca="false">IF(ISNUMBER(SEARCH("S0",$AD112)),1,0)</f>
        <v>0</v>
      </c>
      <c r="AF112" s="17" t="n">
        <f aca="false">IF(ISNUMBER(SEARCH("R01",$AD112)),1,0)</f>
        <v>0</v>
      </c>
      <c r="AG112" s="17" t="n">
        <f aca="false">IF(ISNUMBER(SEARCH("R02R03",$AD112)),1,0)</f>
        <v>0</v>
      </c>
      <c r="AH112" s="17" t="n">
        <f aca="false">IF(ISNUMBER(SEARCH("R04",$AD112)),1,0)</f>
        <v>0</v>
      </c>
      <c r="AI112" s="17" t="n">
        <f aca="false">IF(ISNUMBER(SEARCH("R05",$AD112)),1,0)</f>
        <v>0</v>
      </c>
      <c r="AJ112" s="17" t="n">
        <f aca="false">IF(ISNUMBER(SEARCH("S3R06",$AD112)),1,0)</f>
        <v>0</v>
      </c>
      <c r="AK112" s="17" t="n">
        <f aca="false">IF(ISNUMBER(SEARCH("R07",$AD112)),1,0)</f>
        <v>0</v>
      </c>
      <c r="AL112" s="17" t="n">
        <f aca="false">IF(ISNUMBER(SEARCH("R09",$AD112)),1,0)</f>
        <v>0</v>
      </c>
      <c r="AM112" s="17" t="n">
        <f aca="false">IF(ISNUMBER(SEARCH("R10",$AD112)),1,0)</f>
        <v>0</v>
      </c>
      <c r="AN112" s="17" t="n">
        <f aca="false">IF(ISNUMBER(SEARCH("S5",$AD112)),1,0)</f>
        <v>0</v>
      </c>
      <c r="AO112" s="17" t="n">
        <f aca="false">IF(ISNUMBER(SEARCH("S6",$AD112)),1,0)</f>
        <v>1</v>
      </c>
      <c r="AP112" s="17" t="n">
        <f aca="false">IF(ISNUMBER(SEARCH("TR",$AD112)),1,0)</f>
        <v>0</v>
      </c>
    </row>
    <row r="113" customFormat="false" ht="45.75" hidden="false" customHeight="true" outlineLevel="0" collapsed="false">
      <c r="A113" s="4" t="s">
        <v>734</v>
      </c>
      <c r="B113" s="4" t="s">
        <v>389</v>
      </c>
      <c r="C113" s="4" t="s">
        <v>694</v>
      </c>
      <c r="D113" s="4" t="s">
        <v>735</v>
      </c>
      <c r="E113" s="4" t="s">
        <v>66</v>
      </c>
      <c r="F113" s="4" t="s">
        <v>197</v>
      </c>
      <c r="G113" s="4" t="s">
        <v>45</v>
      </c>
      <c r="H113" s="4" t="s">
        <v>158</v>
      </c>
      <c r="I113" s="4" t="s">
        <v>57</v>
      </c>
      <c r="J113" s="4" t="s">
        <v>47</v>
      </c>
      <c r="K113" s="4" t="s">
        <v>736</v>
      </c>
      <c r="L113" s="4" t="s">
        <v>95</v>
      </c>
      <c r="M113" s="4" t="s">
        <v>49</v>
      </c>
      <c r="N113" s="4" t="s">
        <v>72</v>
      </c>
      <c r="O113" s="4" t="s">
        <v>737</v>
      </c>
      <c r="P113" s="4" t="s">
        <v>697</v>
      </c>
      <c r="Q113" s="4" t="s">
        <v>51</v>
      </c>
      <c r="R113" s="4" t="s">
        <v>703</v>
      </c>
      <c r="S113" s="16" t="n">
        <f aca="false">IF(ISNUMBER(SEARCH("E0",$H113)),1,0)</f>
        <v>0</v>
      </c>
      <c r="T113" s="16" t="n">
        <f aca="false">IF(ISNUMBER(SEARCH("E1",$H113)),1,0)</f>
        <v>0</v>
      </c>
      <c r="U113" s="16" t="n">
        <f aca="false">IF(ISNUMBER(SEARCH("E2",$H113)),1,0)</f>
        <v>0</v>
      </c>
      <c r="V113" s="16" t="n">
        <f aca="false">IF(ISNUMBER(SEARCH("E3",$H113)),1,0)</f>
        <v>0</v>
      </c>
      <c r="W113" s="16" t="n">
        <f aca="false">IF(ISNUMBER(SEARCH("E4",$H113)),1,0)</f>
        <v>0</v>
      </c>
      <c r="X113" s="16" t="n">
        <f aca="false">IF(ISNUMBER(SEARCH("E5",$H113)),1,0)</f>
        <v>0</v>
      </c>
      <c r="Y113" s="16" t="n">
        <f aca="false">IF(ISNUMBER(SEARCH("E6",$H113)),1,0)</f>
        <v>0</v>
      </c>
      <c r="Z113" s="16" t="n">
        <f aca="false">IF(ISNUMBER(SEARCH("E7",$H113)),1,0)</f>
        <v>0</v>
      </c>
      <c r="AA113" s="16" t="n">
        <f aca="false">IF(ISNUMBER(SEARCH("E8",$H113)),1,0)</f>
        <v>0</v>
      </c>
      <c r="AB113" s="16" t="n">
        <f aca="false">IF(ISNUMBER(SEARCH("E9",$H113)),1,0)</f>
        <v>1</v>
      </c>
      <c r="AC113" s="16" t="n">
        <f aca="false">IF(ISNUMBER(SEARCH("TR",$H113)),1,0)</f>
        <v>0</v>
      </c>
      <c r="AD113" s="10" t="s">
        <v>192</v>
      </c>
      <c r="AE113" s="17" t="n">
        <f aca="false">IF(ISNUMBER(SEARCH("S0",$AD113)),1,0)</f>
        <v>0</v>
      </c>
      <c r="AF113" s="17" t="n">
        <f aca="false">IF(ISNUMBER(SEARCH("R01",$AD113)),1,0)</f>
        <v>0</v>
      </c>
      <c r="AG113" s="17" t="n">
        <f aca="false">IF(ISNUMBER(SEARCH("R02R03",$AD113)),1,0)</f>
        <v>0</v>
      </c>
      <c r="AH113" s="17" t="n">
        <f aca="false">IF(ISNUMBER(SEARCH("R04",$AD113)),1,0)</f>
        <v>0</v>
      </c>
      <c r="AI113" s="17" t="n">
        <f aca="false">IF(ISNUMBER(SEARCH("R05",$AD113)),1,0)</f>
        <v>0</v>
      </c>
      <c r="AJ113" s="17" t="n">
        <f aca="false">IF(ISNUMBER(SEARCH("S3R06",$AD113)),1,0)</f>
        <v>0</v>
      </c>
      <c r="AK113" s="17" t="n">
        <f aca="false">IF(ISNUMBER(SEARCH("R07",$AD113)),1,0)</f>
        <v>0</v>
      </c>
      <c r="AL113" s="17" t="n">
        <f aca="false">IF(ISNUMBER(SEARCH("R09",$AD113)),1,0)</f>
        <v>0</v>
      </c>
      <c r="AM113" s="17" t="n">
        <f aca="false">IF(ISNUMBER(SEARCH("R10",$AD113)),1,0)</f>
        <v>0</v>
      </c>
      <c r="AN113" s="17" t="n">
        <f aca="false">IF(ISNUMBER(SEARCH("S5",$AD113)),1,0)</f>
        <v>0</v>
      </c>
      <c r="AO113" s="17" t="n">
        <f aca="false">IF(ISNUMBER(SEARCH("S6",$AD113)),1,0)</f>
        <v>1</v>
      </c>
      <c r="AP113" s="17" t="n">
        <f aca="false">IF(ISNUMBER(SEARCH("TR",$AD113)),1,0)</f>
        <v>0</v>
      </c>
    </row>
    <row r="114" customFormat="false" ht="34.5" hidden="false" customHeight="true" outlineLevel="0" collapsed="false">
      <c r="A114" s="4" t="s">
        <v>738</v>
      </c>
      <c r="B114" s="4" t="s">
        <v>389</v>
      </c>
      <c r="C114" s="4" t="s">
        <v>694</v>
      </c>
      <c r="D114" s="4" t="s">
        <v>739</v>
      </c>
      <c r="E114" s="4" t="s">
        <v>66</v>
      </c>
      <c r="F114" s="4" t="s">
        <v>197</v>
      </c>
      <c r="G114" s="4" t="s">
        <v>92</v>
      </c>
      <c r="H114" s="4" t="s">
        <v>592</v>
      </c>
      <c r="I114" s="4" t="s">
        <v>68</v>
      </c>
      <c r="J114" s="4" t="s">
        <v>47</v>
      </c>
      <c r="K114" s="4" t="s">
        <v>198</v>
      </c>
      <c r="L114" s="4" t="s">
        <v>95</v>
      </c>
      <c r="M114" s="4" t="s">
        <v>49</v>
      </c>
      <c r="N114" s="4" t="s">
        <v>50</v>
      </c>
      <c r="O114" s="4" t="s">
        <v>740</v>
      </c>
      <c r="P114" s="4" t="s">
        <v>697</v>
      </c>
      <c r="Q114" s="4" t="s">
        <v>51</v>
      </c>
      <c r="R114" s="4" t="s">
        <v>703</v>
      </c>
      <c r="S114" s="16" t="n">
        <f aca="false">IF(ISNUMBER(SEARCH("E0",$H114)),1,0)</f>
        <v>0</v>
      </c>
      <c r="T114" s="16" t="n">
        <f aca="false">IF(ISNUMBER(SEARCH("E1",$H114)),1,0)</f>
        <v>0</v>
      </c>
      <c r="U114" s="16" t="n">
        <f aca="false">IF(ISNUMBER(SEARCH("E2",$H114)),1,0)</f>
        <v>0</v>
      </c>
      <c r="V114" s="16" t="n">
        <f aca="false">IF(ISNUMBER(SEARCH("E3",$H114)),1,0)</f>
        <v>1</v>
      </c>
      <c r="W114" s="16" t="n">
        <f aca="false">IF(ISNUMBER(SEARCH("E4",$H114)),1,0)</f>
        <v>0</v>
      </c>
      <c r="X114" s="16" t="n">
        <f aca="false">IF(ISNUMBER(SEARCH("E5",$H114)),1,0)</f>
        <v>1</v>
      </c>
      <c r="Y114" s="16" t="n">
        <f aca="false">IF(ISNUMBER(SEARCH("E6",$H114)),1,0)</f>
        <v>0</v>
      </c>
      <c r="Z114" s="16" t="n">
        <f aca="false">IF(ISNUMBER(SEARCH("E7",$H114)),1,0)</f>
        <v>0</v>
      </c>
      <c r="AA114" s="16" t="n">
        <f aca="false">IF(ISNUMBER(SEARCH("E8",$H114)),1,0)</f>
        <v>0</v>
      </c>
      <c r="AB114" s="16" t="n">
        <f aca="false">IF(ISNUMBER(SEARCH("E9",$H114)),1,0)</f>
        <v>0</v>
      </c>
      <c r="AC114" s="16" t="n">
        <f aca="false">IF(ISNUMBER(SEARCH("TR",$H114)),1,0)</f>
        <v>0</v>
      </c>
      <c r="AD114" s="10" t="s">
        <v>595</v>
      </c>
      <c r="AE114" s="17" t="n">
        <f aca="false">IF(ISNUMBER(SEARCH("S0",$AD114)),1,0)</f>
        <v>0</v>
      </c>
      <c r="AF114" s="17" t="n">
        <f aca="false">IF(ISNUMBER(SEARCH("R01",$AD114)),1,0)</f>
        <v>0</v>
      </c>
      <c r="AG114" s="17" t="n">
        <f aca="false">IF(ISNUMBER(SEARCH("R02R03",$AD114)),1,0)</f>
        <v>0</v>
      </c>
      <c r="AH114" s="17" t="n">
        <f aca="false">IF(ISNUMBER(SEARCH("R04",$AD114)),1,0)</f>
        <v>1</v>
      </c>
      <c r="AI114" s="17" t="n">
        <f aca="false">IF(ISNUMBER(SEARCH("R05",$AD114)),1,0)</f>
        <v>0</v>
      </c>
      <c r="AJ114" s="17" t="n">
        <f aca="false">IF(ISNUMBER(SEARCH("S3R06",$AD114)),1,0)</f>
        <v>1</v>
      </c>
      <c r="AK114" s="17" t="n">
        <f aca="false">IF(ISNUMBER(SEARCH("R07",$AD114)),1,0)</f>
        <v>0</v>
      </c>
      <c r="AL114" s="17" t="n">
        <f aca="false">IF(ISNUMBER(SEARCH("R09",$AD114)),1,0)</f>
        <v>0</v>
      </c>
      <c r="AM114" s="17" t="n">
        <f aca="false">IF(ISNUMBER(SEARCH("R10",$AD114)),1,0)</f>
        <v>0</v>
      </c>
      <c r="AN114" s="17" t="n">
        <f aca="false">IF(ISNUMBER(SEARCH("S5",$AD114)),1,0)</f>
        <v>0</v>
      </c>
      <c r="AO114" s="17" t="n">
        <f aca="false">IF(ISNUMBER(SEARCH("S6",$AD114)),1,0)</f>
        <v>0</v>
      </c>
      <c r="AP114" s="17" t="n">
        <f aca="false">IF(ISNUMBER(SEARCH("TR",$AD114)),1,0)</f>
        <v>0</v>
      </c>
    </row>
    <row r="115" customFormat="false" ht="34.5" hidden="false" customHeight="true" outlineLevel="0" collapsed="false">
      <c r="A115" s="4" t="s">
        <v>741</v>
      </c>
      <c r="B115" s="4" t="s">
        <v>389</v>
      </c>
      <c r="C115" s="4" t="s">
        <v>694</v>
      </c>
      <c r="D115" s="4" t="s">
        <v>742</v>
      </c>
      <c r="E115" s="4" t="s">
        <v>66</v>
      </c>
      <c r="F115" s="4" t="s">
        <v>197</v>
      </c>
      <c r="G115" s="4" t="s">
        <v>92</v>
      </c>
      <c r="H115" s="4" t="s">
        <v>161</v>
      </c>
      <c r="I115" s="4" t="s">
        <v>99</v>
      </c>
      <c r="J115" s="4" t="s">
        <v>47</v>
      </c>
      <c r="K115" s="4" t="s">
        <v>198</v>
      </c>
      <c r="L115" s="4" t="s">
        <v>95</v>
      </c>
      <c r="M115" s="4" t="s">
        <v>49</v>
      </c>
      <c r="N115" s="4" t="s">
        <v>61</v>
      </c>
      <c r="O115" s="4" t="s">
        <v>743</v>
      </c>
      <c r="P115" s="4" t="s">
        <v>697</v>
      </c>
      <c r="Q115" s="4" t="s">
        <v>51</v>
      </c>
      <c r="R115" s="4" t="s">
        <v>703</v>
      </c>
      <c r="S115" s="16" t="n">
        <f aca="false">IF(ISNUMBER(SEARCH("E0",$H115)),1,0)</f>
        <v>0</v>
      </c>
      <c r="T115" s="16" t="n">
        <f aca="false">IF(ISNUMBER(SEARCH("E1",$H115)),1,0)</f>
        <v>0</v>
      </c>
      <c r="U115" s="16" t="n">
        <f aca="false">IF(ISNUMBER(SEARCH("E2",$H115)),1,0)</f>
        <v>0</v>
      </c>
      <c r="V115" s="16" t="n">
        <f aca="false">IF(ISNUMBER(SEARCH("E3",$H115)),1,0)</f>
        <v>0</v>
      </c>
      <c r="W115" s="16" t="n">
        <f aca="false">IF(ISNUMBER(SEARCH("E4",$H115)),1,0)</f>
        <v>0</v>
      </c>
      <c r="X115" s="16" t="n">
        <f aca="false">IF(ISNUMBER(SEARCH("E5",$H115)),1,0)</f>
        <v>0</v>
      </c>
      <c r="Y115" s="16" t="n">
        <f aca="false">IF(ISNUMBER(SEARCH("E6",$H115)),1,0)</f>
        <v>0</v>
      </c>
      <c r="Z115" s="16" t="n">
        <f aca="false">IF(ISNUMBER(SEARCH("E7",$H115)),1,0)</f>
        <v>0</v>
      </c>
      <c r="AA115" s="16" t="n">
        <f aca="false">IF(ISNUMBER(SEARCH("E8",$H115)),1,0)</f>
        <v>0</v>
      </c>
      <c r="AB115" s="16" t="n">
        <f aca="false">IF(ISNUMBER(SEARCH("E9",$H115)),1,0)</f>
        <v>0</v>
      </c>
      <c r="AC115" s="16" t="n">
        <f aca="false">IF(ISNUMBER(SEARCH("TR",$H115)),1,0)</f>
        <v>1</v>
      </c>
      <c r="AD115" s="10" t="s">
        <v>161</v>
      </c>
      <c r="AE115" s="17" t="n">
        <f aca="false">IF(ISNUMBER(SEARCH("S0",$AD115)),1,0)</f>
        <v>0</v>
      </c>
      <c r="AF115" s="17" t="n">
        <f aca="false">IF(ISNUMBER(SEARCH("R01",$AD115)),1,0)</f>
        <v>0</v>
      </c>
      <c r="AG115" s="17" t="n">
        <f aca="false">IF(ISNUMBER(SEARCH("R02R03",$AD115)),1,0)</f>
        <v>0</v>
      </c>
      <c r="AH115" s="17" t="n">
        <f aca="false">IF(ISNUMBER(SEARCH("R04",$AD115)),1,0)</f>
        <v>0</v>
      </c>
      <c r="AI115" s="17" t="n">
        <f aca="false">IF(ISNUMBER(SEARCH("R05",$AD115)),1,0)</f>
        <v>0</v>
      </c>
      <c r="AJ115" s="17" t="n">
        <f aca="false">IF(ISNUMBER(SEARCH("S3R06",$AD115)),1,0)</f>
        <v>0</v>
      </c>
      <c r="AK115" s="17" t="n">
        <f aca="false">IF(ISNUMBER(SEARCH("R07",$AD115)),1,0)</f>
        <v>0</v>
      </c>
      <c r="AL115" s="17" t="n">
        <f aca="false">IF(ISNUMBER(SEARCH("R09",$AD115)),1,0)</f>
        <v>0</v>
      </c>
      <c r="AM115" s="17" t="n">
        <f aca="false">IF(ISNUMBER(SEARCH("R10",$AD115)),1,0)</f>
        <v>0</v>
      </c>
      <c r="AN115" s="17" t="n">
        <f aca="false">IF(ISNUMBER(SEARCH("S5",$AD115)),1,0)</f>
        <v>0</v>
      </c>
      <c r="AO115" s="17" t="n">
        <f aca="false">IF(ISNUMBER(SEARCH("S6",$AD115)),1,0)</f>
        <v>0</v>
      </c>
      <c r="AP115" s="17" t="n">
        <f aca="false">IF(ISNUMBER(SEARCH("TR",$AD115)),1,0)</f>
        <v>1</v>
      </c>
    </row>
    <row r="116" customFormat="false" ht="79.5" hidden="false" customHeight="true" outlineLevel="0" collapsed="false">
      <c r="A116" s="4" t="s">
        <v>744</v>
      </c>
      <c r="B116" s="4" t="s">
        <v>389</v>
      </c>
      <c r="C116" s="4" t="s">
        <v>694</v>
      </c>
      <c r="D116" s="4" t="s">
        <v>745</v>
      </c>
      <c r="E116" s="4" t="s">
        <v>66</v>
      </c>
      <c r="F116" s="4" t="s">
        <v>197</v>
      </c>
      <c r="G116" s="4" t="s">
        <v>56</v>
      </c>
      <c r="H116" s="4" t="s">
        <v>161</v>
      </c>
      <c r="I116" s="4" t="s">
        <v>118</v>
      </c>
      <c r="J116" s="4" t="s">
        <v>47</v>
      </c>
      <c r="K116" s="4" t="s">
        <v>746</v>
      </c>
      <c r="L116" s="4" t="s">
        <v>101</v>
      </c>
      <c r="M116" s="4" t="s">
        <v>49</v>
      </c>
      <c r="N116" s="4" t="s">
        <v>61</v>
      </c>
      <c r="O116" s="4" t="s">
        <v>747</v>
      </c>
      <c r="P116" s="4" t="s">
        <v>697</v>
      </c>
      <c r="Q116" s="4" t="s">
        <v>51</v>
      </c>
      <c r="R116" s="4" t="s">
        <v>748</v>
      </c>
      <c r="S116" s="16" t="n">
        <f aca="false">IF(ISNUMBER(SEARCH("E0",$H116)),1,0)</f>
        <v>0</v>
      </c>
      <c r="T116" s="16" t="n">
        <f aca="false">IF(ISNUMBER(SEARCH("E1",$H116)),1,0)</f>
        <v>0</v>
      </c>
      <c r="U116" s="16" t="n">
        <f aca="false">IF(ISNUMBER(SEARCH("E2",$H116)),1,0)</f>
        <v>0</v>
      </c>
      <c r="V116" s="16" t="n">
        <f aca="false">IF(ISNUMBER(SEARCH("E3",$H116)),1,0)</f>
        <v>0</v>
      </c>
      <c r="W116" s="16" t="n">
        <f aca="false">IF(ISNUMBER(SEARCH("E4",$H116)),1,0)</f>
        <v>0</v>
      </c>
      <c r="X116" s="16" t="n">
        <f aca="false">IF(ISNUMBER(SEARCH("E5",$H116)),1,0)</f>
        <v>0</v>
      </c>
      <c r="Y116" s="16" t="n">
        <f aca="false">IF(ISNUMBER(SEARCH("E6",$H116)),1,0)</f>
        <v>0</v>
      </c>
      <c r="Z116" s="16" t="n">
        <f aca="false">IF(ISNUMBER(SEARCH("E7",$H116)),1,0)</f>
        <v>0</v>
      </c>
      <c r="AA116" s="16" t="n">
        <f aca="false">IF(ISNUMBER(SEARCH("E8",$H116)),1,0)</f>
        <v>0</v>
      </c>
      <c r="AB116" s="16" t="n">
        <f aca="false">IF(ISNUMBER(SEARCH("E9",$H116)),1,0)</f>
        <v>0</v>
      </c>
      <c r="AC116" s="16" t="n">
        <f aca="false">IF(ISNUMBER(SEARCH("TR",$H116)),1,0)</f>
        <v>1</v>
      </c>
      <c r="AD116" s="10" t="s">
        <v>161</v>
      </c>
      <c r="AE116" s="17" t="n">
        <f aca="false">IF(ISNUMBER(SEARCH("S0",$AD116)),1,0)</f>
        <v>0</v>
      </c>
      <c r="AF116" s="17" t="n">
        <f aca="false">IF(ISNUMBER(SEARCH("R01",$AD116)),1,0)</f>
        <v>0</v>
      </c>
      <c r="AG116" s="17" t="n">
        <f aca="false">IF(ISNUMBER(SEARCH("R02R03",$AD116)),1,0)</f>
        <v>0</v>
      </c>
      <c r="AH116" s="17" t="n">
        <f aca="false">IF(ISNUMBER(SEARCH("R04",$AD116)),1,0)</f>
        <v>0</v>
      </c>
      <c r="AI116" s="17" t="n">
        <f aca="false">IF(ISNUMBER(SEARCH("R05",$AD116)),1,0)</f>
        <v>0</v>
      </c>
      <c r="AJ116" s="17" t="n">
        <f aca="false">IF(ISNUMBER(SEARCH("S3R06",$AD116)),1,0)</f>
        <v>0</v>
      </c>
      <c r="AK116" s="17" t="n">
        <f aca="false">IF(ISNUMBER(SEARCH("R07",$AD116)),1,0)</f>
        <v>0</v>
      </c>
      <c r="AL116" s="17" t="n">
        <f aca="false">IF(ISNUMBER(SEARCH("R09",$AD116)),1,0)</f>
        <v>0</v>
      </c>
      <c r="AM116" s="17" t="n">
        <f aca="false">IF(ISNUMBER(SEARCH("R10",$AD116)),1,0)</f>
        <v>0</v>
      </c>
      <c r="AN116" s="17" t="n">
        <f aca="false">IF(ISNUMBER(SEARCH("S5",$AD116)),1,0)</f>
        <v>0</v>
      </c>
      <c r="AO116" s="17" t="n">
        <f aca="false">IF(ISNUMBER(SEARCH("S6",$AD116)),1,0)</f>
        <v>0</v>
      </c>
      <c r="AP116" s="17" t="n">
        <f aca="false">IF(ISNUMBER(SEARCH("TR",$AD116)),1,0)</f>
        <v>1</v>
      </c>
    </row>
    <row r="117" customFormat="false" ht="45.75" hidden="false" customHeight="true" outlineLevel="0" collapsed="false">
      <c r="A117" s="4" t="s">
        <v>749</v>
      </c>
      <c r="B117" s="4" t="s">
        <v>389</v>
      </c>
      <c r="C117" s="4" t="s">
        <v>694</v>
      </c>
      <c r="D117" s="4" t="s">
        <v>750</v>
      </c>
      <c r="E117" s="4" t="s">
        <v>66</v>
      </c>
      <c r="F117" s="4" t="s">
        <v>197</v>
      </c>
      <c r="G117" s="4" t="s">
        <v>56</v>
      </c>
      <c r="H117" s="4" t="s">
        <v>161</v>
      </c>
      <c r="I117" s="4" t="s">
        <v>57</v>
      </c>
      <c r="J117" s="4" t="s">
        <v>47</v>
      </c>
      <c r="K117" s="4" t="s">
        <v>746</v>
      </c>
      <c r="L117" s="4" t="s">
        <v>101</v>
      </c>
      <c r="M117" s="4" t="s">
        <v>49</v>
      </c>
      <c r="N117" s="4" t="s">
        <v>61</v>
      </c>
      <c r="O117" s="4" t="s">
        <v>751</v>
      </c>
      <c r="P117" s="4" t="s">
        <v>697</v>
      </c>
      <c r="Q117" s="4" t="s">
        <v>51</v>
      </c>
      <c r="R117" s="4" t="s">
        <v>752</v>
      </c>
      <c r="S117" s="16" t="n">
        <f aca="false">IF(ISNUMBER(SEARCH("E0",$H117)),1,0)</f>
        <v>0</v>
      </c>
      <c r="T117" s="16" t="n">
        <f aca="false">IF(ISNUMBER(SEARCH("E1",$H117)),1,0)</f>
        <v>0</v>
      </c>
      <c r="U117" s="16" t="n">
        <f aca="false">IF(ISNUMBER(SEARCH("E2",$H117)),1,0)</f>
        <v>0</v>
      </c>
      <c r="V117" s="16" t="n">
        <f aca="false">IF(ISNUMBER(SEARCH("E3",$H117)),1,0)</f>
        <v>0</v>
      </c>
      <c r="W117" s="16" t="n">
        <f aca="false">IF(ISNUMBER(SEARCH("E4",$H117)),1,0)</f>
        <v>0</v>
      </c>
      <c r="X117" s="16" t="n">
        <f aca="false">IF(ISNUMBER(SEARCH("E5",$H117)),1,0)</f>
        <v>0</v>
      </c>
      <c r="Y117" s="16" t="n">
        <f aca="false">IF(ISNUMBER(SEARCH("E6",$H117)),1,0)</f>
        <v>0</v>
      </c>
      <c r="Z117" s="16" t="n">
        <f aca="false">IF(ISNUMBER(SEARCH("E7",$H117)),1,0)</f>
        <v>0</v>
      </c>
      <c r="AA117" s="16" t="n">
        <f aca="false">IF(ISNUMBER(SEARCH("E8",$H117)),1,0)</f>
        <v>0</v>
      </c>
      <c r="AB117" s="16" t="n">
        <f aca="false">IF(ISNUMBER(SEARCH("E9",$H117)),1,0)</f>
        <v>0</v>
      </c>
      <c r="AC117" s="16" t="n">
        <f aca="false">IF(ISNUMBER(SEARCH("TR",$H117)),1,0)</f>
        <v>1</v>
      </c>
      <c r="AD117" s="10" t="s">
        <v>161</v>
      </c>
      <c r="AE117" s="17" t="n">
        <f aca="false">IF(ISNUMBER(SEARCH("S0",$AD117)),1,0)</f>
        <v>0</v>
      </c>
      <c r="AF117" s="17" t="n">
        <f aca="false">IF(ISNUMBER(SEARCH("R01",$AD117)),1,0)</f>
        <v>0</v>
      </c>
      <c r="AG117" s="17" t="n">
        <f aca="false">IF(ISNUMBER(SEARCH("R02R03",$AD117)),1,0)</f>
        <v>0</v>
      </c>
      <c r="AH117" s="17" t="n">
        <f aca="false">IF(ISNUMBER(SEARCH("R04",$AD117)),1,0)</f>
        <v>0</v>
      </c>
      <c r="AI117" s="17" t="n">
        <f aca="false">IF(ISNUMBER(SEARCH("R05",$AD117)),1,0)</f>
        <v>0</v>
      </c>
      <c r="AJ117" s="17" t="n">
        <f aca="false">IF(ISNUMBER(SEARCH("S3R06",$AD117)),1,0)</f>
        <v>0</v>
      </c>
      <c r="AK117" s="17" t="n">
        <f aca="false">IF(ISNUMBER(SEARCH("R07",$AD117)),1,0)</f>
        <v>0</v>
      </c>
      <c r="AL117" s="17" t="n">
        <f aca="false">IF(ISNUMBER(SEARCH("R09",$AD117)),1,0)</f>
        <v>0</v>
      </c>
      <c r="AM117" s="17" t="n">
        <f aca="false">IF(ISNUMBER(SEARCH("R10",$AD117)),1,0)</f>
        <v>0</v>
      </c>
      <c r="AN117" s="17" t="n">
        <f aca="false">IF(ISNUMBER(SEARCH("S5",$AD117)),1,0)</f>
        <v>0</v>
      </c>
      <c r="AO117" s="17" t="n">
        <f aca="false">IF(ISNUMBER(SEARCH("S6",$AD117)),1,0)</f>
        <v>0</v>
      </c>
      <c r="AP117" s="17" t="n">
        <f aca="false">IF(ISNUMBER(SEARCH("TR",$AD117)),1,0)</f>
        <v>1</v>
      </c>
    </row>
    <row r="118" customFormat="false" ht="45.75" hidden="false" customHeight="true" outlineLevel="0" collapsed="false">
      <c r="A118" s="4" t="s">
        <v>753</v>
      </c>
      <c r="B118" s="4" t="s">
        <v>389</v>
      </c>
      <c r="C118" s="4" t="s">
        <v>694</v>
      </c>
      <c r="D118" s="4" t="s">
        <v>754</v>
      </c>
      <c r="E118" s="4" t="s">
        <v>66</v>
      </c>
      <c r="F118" s="4" t="s">
        <v>197</v>
      </c>
      <c r="G118" s="4" t="s">
        <v>56</v>
      </c>
      <c r="H118" s="4" t="s">
        <v>161</v>
      </c>
      <c r="I118" s="4" t="s">
        <v>68</v>
      </c>
      <c r="J118" s="4" t="s">
        <v>47</v>
      </c>
      <c r="K118" s="4" t="s">
        <v>746</v>
      </c>
      <c r="L118" s="4" t="s">
        <v>101</v>
      </c>
      <c r="M118" s="4" t="s">
        <v>49</v>
      </c>
      <c r="N118" s="4" t="s">
        <v>61</v>
      </c>
      <c r="O118" s="4" t="s">
        <v>755</v>
      </c>
      <c r="P118" s="4" t="s">
        <v>697</v>
      </c>
      <c r="Q118" s="4" t="s">
        <v>51</v>
      </c>
      <c r="R118" s="4" t="s">
        <v>756</v>
      </c>
      <c r="S118" s="16" t="n">
        <f aca="false">IF(ISNUMBER(SEARCH("E0",$H118)),1,0)</f>
        <v>0</v>
      </c>
      <c r="T118" s="16" t="n">
        <f aca="false">IF(ISNUMBER(SEARCH("E1",$H118)),1,0)</f>
        <v>0</v>
      </c>
      <c r="U118" s="16" t="n">
        <f aca="false">IF(ISNUMBER(SEARCH("E2",$H118)),1,0)</f>
        <v>0</v>
      </c>
      <c r="V118" s="16" t="n">
        <f aca="false">IF(ISNUMBER(SEARCH("E3",$H118)),1,0)</f>
        <v>0</v>
      </c>
      <c r="W118" s="16" t="n">
        <f aca="false">IF(ISNUMBER(SEARCH("E4",$H118)),1,0)</f>
        <v>0</v>
      </c>
      <c r="X118" s="16" t="n">
        <f aca="false">IF(ISNUMBER(SEARCH("E5",$H118)),1,0)</f>
        <v>0</v>
      </c>
      <c r="Y118" s="16" t="n">
        <f aca="false">IF(ISNUMBER(SEARCH("E6",$H118)),1,0)</f>
        <v>0</v>
      </c>
      <c r="Z118" s="16" t="n">
        <f aca="false">IF(ISNUMBER(SEARCH("E7",$H118)),1,0)</f>
        <v>0</v>
      </c>
      <c r="AA118" s="16" t="n">
        <f aca="false">IF(ISNUMBER(SEARCH("E8",$H118)),1,0)</f>
        <v>0</v>
      </c>
      <c r="AB118" s="16" t="n">
        <f aca="false">IF(ISNUMBER(SEARCH("E9",$H118)),1,0)</f>
        <v>0</v>
      </c>
      <c r="AC118" s="16" t="n">
        <f aca="false">IF(ISNUMBER(SEARCH("TR",$H118)),1,0)</f>
        <v>1</v>
      </c>
      <c r="AD118" s="10" t="s">
        <v>161</v>
      </c>
      <c r="AE118" s="17" t="n">
        <f aca="false">IF(ISNUMBER(SEARCH("S0",$AD118)),1,0)</f>
        <v>0</v>
      </c>
      <c r="AF118" s="17" t="n">
        <f aca="false">IF(ISNUMBER(SEARCH("R01",$AD118)),1,0)</f>
        <v>0</v>
      </c>
      <c r="AG118" s="17" t="n">
        <f aca="false">IF(ISNUMBER(SEARCH("R02R03",$AD118)),1,0)</f>
        <v>0</v>
      </c>
      <c r="AH118" s="17" t="n">
        <f aca="false">IF(ISNUMBER(SEARCH("R04",$AD118)),1,0)</f>
        <v>0</v>
      </c>
      <c r="AI118" s="17" t="n">
        <f aca="false">IF(ISNUMBER(SEARCH("R05",$AD118)),1,0)</f>
        <v>0</v>
      </c>
      <c r="AJ118" s="17" t="n">
        <f aca="false">IF(ISNUMBER(SEARCH("S3R06",$AD118)),1,0)</f>
        <v>0</v>
      </c>
      <c r="AK118" s="17" t="n">
        <f aca="false">IF(ISNUMBER(SEARCH("R07",$AD118)),1,0)</f>
        <v>0</v>
      </c>
      <c r="AL118" s="17" t="n">
        <f aca="false">IF(ISNUMBER(SEARCH("R09",$AD118)),1,0)</f>
        <v>0</v>
      </c>
      <c r="AM118" s="17" t="n">
        <f aca="false">IF(ISNUMBER(SEARCH("R10",$AD118)),1,0)</f>
        <v>0</v>
      </c>
      <c r="AN118" s="17" t="n">
        <f aca="false">IF(ISNUMBER(SEARCH("S5",$AD118)),1,0)</f>
        <v>0</v>
      </c>
      <c r="AO118" s="17" t="n">
        <f aca="false">IF(ISNUMBER(SEARCH("S6",$AD118)),1,0)</f>
        <v>0</v>
      </c>
      <c r="AP118" s="17" t="n">
        <f aca="false">IF(ISNUMBER(SEARCH("TR",$AD118)),1,0)</f>
        <v>1</v>
      </c>
    </row>
    <row r="119" customFormat="false" ht="34.5" hidden="false" customHeight="true" outlineLevel="0" collapsed="false">
      <c r="A119" s="4" t="s">
        <v>757</v>
      </c>
      <c r="B119" s="4" t="s">
        <v>758</v>
      </c>
      <c r="C119" s="4" t="s">
        <v>759</v>
      </c>
      <c r="D119" s="4" t="s">
        <v>760</v>
      </c>
      <c r="E119" s="4" t="s">
        <v>44</v>
      </c>
      <c r="F119" s="4" t="s">
        <v>197</v>
      </c>
      <c r="G119" s="4" t="s">
        <v>110</v>
      </c>
      <c r="H119" s="4" t="s">
        <v>161</v>
      </c>
      <c r="I119" s="4" t="s">
        <v>46</v>
      </c>
      <c r="J119" s="4" t="s">
        <v>86</v>
      </c>
      <c r="K119" s="4" t="s">
        <v>198</v>
      </c>
      <c r="L119" s="4" t="s">
        <v>95</v>
      </c>
      <c r="M119" s="4" t="s">
        <v>80</v>
      </c>
      <c r="N119" s="4" t="s">
        <v>50</v>
      </c>
      <c r="O119" s="4" t="s">
        <v>761</v>
      </c>
      <c r="P119" s="4" t="s">
        <v>762</v>
      </c>
      <c r="Q119" s="4" t="s">
        <v>51</v>
      </c>
      <c r="R119" s="4" t="s">
        <v>763</v>
      </c>
      <c r="S119" s="16" t="n">
        <f aca="false">IF(ISNUMBER(SEARCH("E0",$H119)),1,0)</f>
        <v>0</v>
      </c>
      <c r="T119" s="16" t="n">
        <f aca="false">IF(ISNUMBER(SEARCH("E1",$H119)),1,0)</f>
        <v>0</v>
      </c>
      <c r="U119" s="16" t="n">
        <f aca="false">IF(ISNUMBER(SEARCH("E2",$H119)),1,0)</f>
        <v>0</v>
      </c>
      <c r="V119" s="16" t="n">
        <f aca="false">IF(ISNUMBER(SEARCH("E3",$H119)),1,0)</f>
        <v>0</v>
      </c>
      <c r="W119" s="16" t="n">
        <f aca="false">IF(ISNUMBER(SEARCH("E4",$H119)),1,0)</f>
        <v>0</v>
      </c>
      <c r="X119" s="16" t="n">
        <f aca="false">IF(ISNUMBER(SEARCH("E5",$H119)),1,0)</f>
        <v>0</v>
      </c>
      <c r="Y119" s="16" t="n">
        <f aca="false">IF(ISNUMBER(SEARCH("E6",$H119)),1,0)</f>
        <v>0</v>
      </c>
      <c r="Z119" s="16" t="n">
        <f aca="false">IF(ISNUMBER(SEARCH("E7",$H119)),1,0)</f>
        <v>0</v>
      </c>
      <c r="AA119" s="16" t="n">
        <f aca="false">IF(ISNUMBER(SEARCH("E8",$H119)),1,0)</f>
        <v>0</v>
      </c>
      <c r="AB119" s="16" t="n">
        <f aca="false">IF(ISNUMBER(SEARCH("E9",$H119)),1,0)</f>
        <v>0</v>
      </c>
      <c r="AC119" s="16" t="n">
        <f aca="false">IF(ISNUMBER(SEARCH("TR",$H119)),1,0)</f>
        <v>1</v>
      </c>
      <c r="AD119" s="10" t="s">
        <v>161</v>
      </c>
      <c r="AE119" s="17" t="n">
        <f aca="false">IF(ISNUMBER(SEARCH("S0",$AD119)),1,0)</f>
        <v>0</v>
      </c>
      <c r="AF119" s="17" t="n">
        <f aca="false">IF(ISNUMBER(SEARCH("R01",$AD119)),1,0)</f>
        <v>0</v>
      </c>
      <c r="AG119" s="17" t="n">
        <f aca="false">IF(ISNUMBER(SEARCH("R02R03",$AD119)),1,0)</f>
        <v>0</v>
      </c>
      <c r="AH119" s="17" t="n">
        <f aca="false">IF(ISNUMBER(SEARCH("R04",$AD119)),1,0)</f>
        <v>0</v>
      </c>
      <c r="AI119" s="17" t="n">
        <f aca="false">IF(ISNUMBER(SEARCH("R05",$AD119)),1,0)</f>
        <v>0</v>
      </c>
      <c r="AJ119" s="17" t="n">
        <f aca="false">IF(ISNUMBER(SEARCH("S3R06",$AD119)),1,0)</f>
        <v>0</v>
      </c>
      <c r="AK119" s="17" t="n">
        <f aca="false">IF(ISNUMBER(SEARCH("R07",$AD119)),1,0)</f>
        <v>0</v>
      </c>
      <c r="AL119" s="17" t="n">
        <f aca="false">IF(ISNUMBER(SEARCH("R09",$AD119)),1,0)</f>
        <v>0</v>
      </c>
      <c r="AM119" s="17" t="n">
        <f aca="false">IF(ISNUMBER(SEARCH("R10",$AD119)),1,0)</f>
        <v>0</v>
      </c>
      <c r="AN119" s="17" t="n">
        <f aca="false">IF(ISNUMBER(SEARCH("S5",$AD119)),1,0)</f>
        <v>0</v>
      </c>
      <c r="AO119" s="17" t="n">
        <f aca="false">IF(ISNUMBER(SEARCH("S6",$AD119)),1,0)</f>
        <v>0</v>
      </c>
      <c r="AP119" s="17" t="n">
        <f aca="false">IF(ISNUMBER(SEARCH("TR",$AD119)),1,0)</f>
        <v>1</v>
      </c>
    </row>
    <row r="120" customFormat="false" ht="34.5" hidden="false" customHeight="true" outlineLevel="0" collapsed="false">
      <c r="A120" s="4" t="s">
        <v>764</v>
      </c>
      <c r="B120" s="4" t="s">
        <v>758</v>
      </c>
      <c r="C120" s="4" t="s">
        <v>759</v>
      </c>
      <c r="D120" s="4" t="s">
        <v>765</v>
      </c>
      <c r="E120" s="4" t="s">
        <v>44</v>
      </c>
      <c r="F120" s="4" t="s">
        <v>197</v>
      </c>
      <c r="G120" s="4" t="s">
        <v>56</v>
      </c>
      <c r="H120" s="4" t="s">
        <v>161</v>
      </c>
      <c r="I120" s="4" t="s">
        <v>118</v>
      </c>
      <c r="J120" s="4" t="s">
        <v>86</v>
      </c>
      <c r="K120" s="4" t="s">
        <v>766</v>
      </c>
      <c r="L120" s="4" t="s">
        <v>95</v>
      </c>
      <c r="M120" s="4" t="s">
        <v>80</v>
      </c>
      <c r="N120" s="4" t="s">
        <v>50</v>
      </c>
      <c r="O120" s="4" t="s">
        <v>767</v>
      </c>
      <c r="P120" s="4" t="s">
        <v>762</v>
      </c>
      <c r="Q120" s="4" t="s">
        <v>51</v>
      </c>
      <c r="R120" s="4" t="s">
        <v>768</v>
      </c>
      <c r="S120" s="16" t="n">
        <f aca="false">IF(ISNUMBER(SEARCH("E0",$H120)),1,0)</f>
        <v>0</v>
      </c>
      <c r="T120" s="16" t="n">
        <f aca="false">IF(ISNUMBER(SEARCH("E1",$H120)),1,0)</f>
        <v>0</v>
      </c>
      <c r="U120" s="16" t="n">
        <f aca="false">IF(ISNUMBER(SEARCH("E2",$H120)),1,0)</f>
        <v>0</v>
      </c>
      <c r="V120" s="16" t="n">
        <f aca="false">IF(ISNUMBER(SEARCH("E3",$H120)),1,0)</f>
        <v>0</v>
      </c>
      <c r="W120" s="16" t="n">
        <f aca="false">IF(ISNUMBER(SEARCH("E4",$H120)),1,0)</f>
        <v>0</v>
      </c>
      <c r="X120" s="16" t="n">
        <f aca="false">IF(ISNUMBER(SEARCH("E5",$H120)),1,0)</f>
        <v>0</v>
      </c>
      <c r="Y120" s="16" t="n">
        <f aca="false">IF(ISNUMBER(SEARCH("E6",$H120)),1,0)</f>
        <v>0</v>
      </c>
      <c r="Z120" s="16" t="n">
        <f aca="false">IF(ISNUMBER(SEARCH("E7",$H120)),1,0)</f>
        <v>0</v>
      </c>
      <c r="AA120" s="16" t="n">
        <f aca="false">IF(ISNUMBER(SEARCH("E8",$H120)),1,0)</f>
        <v>0</v>
      </c>
      <c r="AB120" s="16" t="n">
        <f aca="false">IF(ISNUMBER(SEARCH("E9",$H120)),1,0)</f>
        <v>0</v>
      </c>
      <c r="AC120" s="16" t="n">
        <f aca="false">IF(ISNUMBER(SEARCH("TR",$H120)),1,0)</f>
        <v>1</v>
      </c>
      <c r="AD120" s="10" t="s">
        <v>161</v>
      </c>
      <c r="AE120" s="17" t="n">
        <f aca="false">IF(ISNUMBER(SEARCH("S0",$AD120)),1,0)</f>
        <v>0</v>
      </c>
      <c r="AF120" s="17" t="n">
        <f aca="false">IF(ISNUMBER(SEARCH("R01",$AD120)),1,0)</f>
        <v>0</v>
      </c>
      <c r="AG120" s="17" t="n">
        <f aca="false">IF(ISNUMBER(SEARCH("R02R03",$AD120)),1,0)</f>
        <v>0</v>
      </c>
      <c r="AH120" s="17" t="n">
        <f aca="false">IF(ISNUMBER(SEARCH("R04",$AD120)),1,0)</f>
        <v>0</v>
      </c>
      <c r="AI120" s="17" t="n">
        <f aca="false">IF(ISNUMBER(SEARCH("R05",$AD120)),1,0)</f>
        <v>0</v>
      </c>
      <c r="AJ120" s="17" t="n">
        <f aca="false">IF(ISNUMBER(SEARCH("S3R06",$AD120)),1,0)</f>
        <v>0</v>
      </c>
      <c r="AK120" s="17" t="n">
        <f aca="false">IF(ISNUMBER(SEARCH("R07",$AD120)),1,0)</f>
        <v>0</v>
      </c>
      <c r="AL120" s="17" t="n">
        <f aca="false">IF(ISNUMBER(SEARCH("R09",$AD120)),1,0)</f>
        <v>0</v>
      </c>
      <c r="AM120" s="17" t="n">
        <f aca="false">IF(ISNUMBER(SEARCH("R10",$AD120)),1,0)</f>
        <v>0</v>
      </c>
      <c r="AN120" s="17" t="n">
        <f aca="false">IF(ISNUMBER(SEARCH("S5",$AD120)),1,0)</f>
        <v>0</v>
      </c>
      <c r="AO120" s="17" t="n">
        <f aca="false">IF(ISNUMBER(SEARCH("S6",$AD120)),1,0)</f>
        <v>0</v>
      </c>
      <c r="AP120" s="17" t="n">
        <f aca="false">IF(ISNUMBER(SEARCH("TR",$AD120)),1,0)</f>
        <v>1</v>
      </c>
    </row>
    <row r="121" customFormat="false" ht="34.5" hidden="false" customHeight="true" outlineLevel="0" collapsed="false">
      <c r="A121" s="4" t="s">
        <v>769</v>
      </c>
      <c r="B121" s="4" t="s">
        <v>758</v>
      </c>
      <c r="C121" s="4" t="s">
        <v>759</v>
      </c>
      <c r="D121" s="4" t="s">
        <v>269</v>
      </c>
      <c r="E121" s="4" t="s">
        <v>44</v>
      </c>
      <c r="F121" s="4" t="s">
        <v>197</v>
      </c>
      <c r="G121" s="4" t="s">
        <v>45</v>
      </c>
      <c r="H121" s="4" t="s">
        <v>161</v>
      </c>
      <c r="I121" s="4" t="s">
        <v>118</v>
      </c>
      <c r="J121" s="4" t="s">
        <v>86</v>
      </c>
      <c r="K121" s="4" t="s">
        <v>198</v>
      </c>
      <c r="L121" s="4" t="s">
        <v>79</v>
      </c>
      <c r="M121" s="4" t="s">
        <v>80</v>
      </c>
      <c r="N121" s="4" t="s">
        <v>50</v>
      </c>
      <c r="O121" s="4" t="s">
        <v>770</v>
      </c>
      <c r="P121" s="4" t="s">
        <v>762</v>
      </c>
      <c r="Q121" s="4" t="s">
        <v>51</v>
      </c>
      <c r="R121" s="4" t="s">
        <v>771</v>
      </c>
      <c r="S121" s="16" t="n">
        <f aca="false">IF(ISNUMBER(SEARCH("E0",$H121)),1,0)</f>
        <v>0</v>
      </c>
      <c r="T121" s="16" t="n">
        <f aca="false">IF(ISNUMBER(SEARCH("E1",$H121)),1,0)</f>
        <v>0</v>
      </c>
      <c r="U121" s="16" t="n">
        <f aca="false">IF(ISNUMBER(SEARCH("E2",$H121)),1,0)</f>
        <v>0</v>
      </c>
      <c r="V121" s="16" t="n">
        <f aca="false">IF(ISNUMBER(SEARCH("E3",$H121)),1,0)</f>
        <v>0</v>
      </c>
      <c r="W121" s="16" t="n">
        <f aca="false">IF(ISNUMBER(SEARCH("E4",$H121)),1,0)</f>
        <v>0</v>
      </c>
      <c r="X121" s="16" t="n">
        <f aca="false">IF(ISNUMBER(SEARCH("E5",$H121)),1,0)</f>
        <v>0</v>
      </c>
      <c r="Y121" s="16" t="n">
        <f aca="false">IF(ISNUMBER(SEARCH("E6",$H121)),1,0)</f>
        <v>0</v>
      </c>
      <c r="Z121" s="16" t="n">
        <f aca="false">IF(ISNUMBER(SEARCH("E7",$H121)),1,0)</f>
        <v>0</v>
      </c>
      <c r="AA121" s="16" t="n">
        <f aca="false">IF(ISNUMBER(SEARCH("E8",$H121)),1,0)</f>
        <v>0</v>
      </c>
      <c r="AB121" s="16" t="n">
        <f aca="false">IF(ISNUMBER(SEARCH("E9",$H121)),1,0)</f>
        <v>0</v>
      </c>
      <c r="AC121" s="16" t="n">
        <f aca="false">IF(ISNUMBER(SEARCH("TR",$H121)),1,0)</f>
        <v>1</v>
      </c>
      <c r="AD121" s="10" t="s">
        <v>161</v>
      </c>
      <c r="AE121" s="17" t="n">
        <f aca="false">IF(ISNUMBER(SEARCH("S0",$AD121)),1,0)</f>
        <v>0</v>
      </c>
      <c r="AF121" s="17" t="n">
        <f aca="false">IF(ISNUMBER(SEARCH("R01",$AD121)),1,0)</f>
        <v>0</v>
      </c>
      <c r="AG121" s="17" t="n">
        <f aca="false">IF(ISNUMBER(SEARCH("R02R03",$AD121)),1,0)</f>
        <v>0</v>
      </c>
      <c r="AH121" s="17" t="n">
        <f aca="false">IF(ISNUMBER(SEARCH("R04",$AD121)),1,0)</f>
        <v>0</v>
      </c>
      <c r="AI121" s="17" t="n">
        <f aca="false">IF(ISNUMBER(SEARCH("R05",$AD121)),1,0)</f>
        <v>0</v>
      </c>
      <c r="AJ121" s="17" t="n">
        <f aca="false">IF(ISNUMBER(SEARCH("S3R06",$AD121)),1,0)</f>
        <v>0</v>
      </c>
      <c r="AK121" s="17" t="n">
        <f aca="false">IF(ISNUMBER(SEARCH("R07",$AD121)),1,0)</f>
        <v>0</v>
      </c>
      <c r="AL121" s="17" t="n">
        <f aca="false">IF(ISNUMBER(SEARCH("R09",$AD121)),1,0)</f>
        <v>0</v>
      </c>
      <c r="AM121" s="17" t="n">
        <f aca="false">IF(ISNUMBER(SEARCH("R10",$AD121)),1,0)</f>
        <v>0</v>
      </c>
      <c r="AN121" s="17" t="n">
        <f aca="false">IF(ISNUMBER(SEARCH("S5",$AD121)),1,0)</f>
        <v>0</v>
      </c>
      <c r="AO121" s="17" t="n">
        <f aca="false">IF(ISNUMBER(SEARCH("S6",$AD121)),1,0)</f>
        <v>0</v>
      </c>
      <c r="AP121" s="17" t="n">
        <f aca="false">IF(ISNUMBER(SEARCH("TR",$AD121)),1,0)</f>
        <v>1</v>
      </c>
    </row>
    <row r="122" customFormat="false" ht="34.5" hidden="false" customHeight="true" outlineLevel="0" collapsed="false">
      <c r="A122" s="4" t="s">
        <v>772</v>
      </c>
      <c r="B122" s="4" t="s">
        <v>758</v>
      </c>
      <c r="C122" s="4" t="s">
        <v>759</v>
      </c>
      <c r="D122" s="4" t="s">
        <v>773</v>
      </c>
      <c r="E122" s="4" t="s">
        <v>44</v>
      </c>
      <c r="F122" s="4" t="s">
        <v>197</v>
      </c>
      <c r="G122" s="4" t="s">
        <v>76</v>
      </c>
      <c r="H122" s="4" t="s">
        <v>139</v>
      </c>
      <c r="I122" s="4" t="s">
        <v>93</v>
      </c>
      <c r="J122" s="4" t="s">
        <v>86</v>
      </c>
      <c r="K122" s="4" t="s">
        <v>774</v>
      </c>
      <c r="L122" s="4" t="s">
        <v>48</v>
      </c>
      <c r="M122" s="4" t="s">
        <v>80</v>
      </c>
      <c r="N122" s="4" t="s">
        <v>50</v>
      </c>
      <c r="O122" s="4" t="s">
        <v>775</v>
      </c>
      <c r="P122" s="4" t="s">
        <v>762</v>
      </c>
      <c r="Q122" s="4" t="s">
        <v>51</v>
      </c>
      <c r="R122" s="4" t="s">
        <v>776</v>
      </c>
      <c r="S122" s="16" t="n">
        <f aca="false">IF(ISNUMBER(SEARCH("E0",$H122)),1,0)</f>
        <v>1</v>
      </c>
      <c r="T122" s="16" t="n">
        <f aca="false">IF(ISNUMBER(SEARCH("E1",$H122)),1,0)</f>
        <v>0</v>
      </c>
      <c r="U122" s="16" t="n">
        <f aca="false">IF(ISNUMBER(SEARCH("E2",$H122)),1,0)</f>
        <v>0</v>
      </c>
      <c r="V122" s="16" t="n">
        <f aca="false">IF(ISNUMBER(SEARCH("E3",$H122)),1,0)</f>
        <v>0</v>
      </c>
      <c r="W122" s="16" t="n">
        <f aca="false">IF(ISNUMBER(SEARCH("E4",$H122)),1,0)</f>
        <v>0</v>
      </c>
      <c r="X122" s="16" t="n">
        <f aca="false">IF(ISNUMBER(SEARCH("E5",$H122)),1,0)</f>
        <v>0</v>
      </c>
      <c r="Y122" s="16" t="n">
        <f aca="false">IF(ISNUMBER(SEARCH("E6",$H122)),1,0)</f>
        <v>0</v>
      </c>
      <c r="Z122" s="16" t="n">
        <f aca="false">IF(ISNUMBER(SEARCH("E7",$H122)),1,0)</f>
        <v>0</v>
      </c>
      <c r="AA122" s="16" t="n">
        <f aca="false">IF(ISNUMBER(SEARCH("E8",$H122)),1,0)</f>
        <v>0</v>
      </c>
      <c r="AB122" s="16" t="n">
        <f aca="false">IF(ISNUMBER(SEARCH("E9",$H122)),1,0)</f>
        <v>0</v>
      </c>
      <c r="AC122" s="16" t="n">
        <f aca="false">IF(ISNUMBER(SEARCH("TR",$H122)),1,0)</f>
        <v>0</v>
      </c>
      <c r="AD122" s="10" t="s">
        <v>182</v>
      </c>
      <c r="AE122" s="17" t="n">
        <f aca="false">IF(ISNUMBER(SEARCH("S0",$AD122)),1,0)</f>
        <v>1</v>
      </c>
      <c r="AF122" s="17" t="n">
        <f aca="false">IF(ISNUMBER(SEARCH("R01",$AD122)),1,0)</f>
        <v>0</v>
      </c>
      <c r="AG122" s="17" t="n">
        <f aca="false">IF(ISNUMBER(SEARCH("R02R03",$AD122)),1,0)</f>
        <v>0</v>
      </c>
      <c r="AH122" s="17" t="n">
        <f aca="false">IF(ISNUMBER(SEARCH("R04",$AD122)),1,0)</f>
        <v>0</v>
      </c>
      <c r="AI122" s="17" t="n">
        <f aca="false">IF(ISNUMBER(SEARCH("R05",$AD122)),1,0)</f>
        <v>0</v>
      </c>
      <c r="AJ122" s="17" t="n">
        <f aca="false">IF(ISNUMBER(SEARCH("S3R06",$AD122)),1,0)</f>
        <v>0</v>
      </c>
      <c r="AK122" s="17" t="n">
        <f aca="false">IF(ISNUMBER(SEARCH("R07",$AD122)),1,0)</f>
        <v>0</v>
      </c>
      <c r="AL122" s="17" t="n">
        <f aca="false">IF(ISNUMBER(SEARCH("R09",$AD122)),1,0)</f>
        <v>0</v>
      </c>
      <c r="AM122" s="17" t="n">
        <f aca="false">IF(ISNUMBER(SEARCH("R10",$AD122)),1,0)</f>
        <v>0</v>
      </c>
      <c r="AN122" s="17" t="n">
        <f aca="false">IF(ISNUMBER(SEARCH("S5",$AD122)),1,0)</f>
        <v>0</v>
      </c>
      <c r="AO122" s="17" t="n">
        <f aca="false">IF(ISNUMBER(SEARCH("S6",$AD122)),1,0)</f>
        <v>0</v>
      </c>
      <c r="AP122" s="17" t="n">
        <f aca="false">IF(ISNUMBER(SEARCH("TR",$AD122)),1,0)</f>
        <v>0</v>
      </c>
    </row>
    <row r="123" customFormat="false" ht="34.5" hidden="false" customHeight="true" outlineLevel="0" collapsed="false">
      <c r="A123" s="4" t="s">
        <v>777</v>
      </c>
      <c r="B123" s="4" t="s">
        <v>758</v>
      </c>
      <c r="C123" s="4" t="s">
        <v>759</v>
      </c>
      <c r="D123" s="4" t="s">
        <v>778</v>
      </c>
      <c r="E123" s="4" t="s">
        <v>44</v>
      </c>
      <c r="F123" s="4" t="s">
        <v>197</v>
      </c>
      <c r="G123" s="4" t="s">
        <v>76</v>
      </c>
      <c r="H123" s="4" t="s">
        <v>139</v>
      </c>
      <c r="I123" s="4" t="s">
        <v>93</v>
      </c>
      <c r="J123" s="4" t="s">
        <v>86</v>
      </c>
      <c r="K123" s="4" t="s">
        <v>774</v>
      </c>
      <c r="L123" s="4" t="s">
        <v>48</v>
      </c>
      <c r="M123" s="4" t="s">
        <v>80</v>
      </c>
      <c r="N123" s="4" t="s">
        <v>50</v>
      </c>
      <c r="O123" s="4" t="s">
        <v>779</v>
      </c>
      <c r="P123" s="4" t="s">
        <v>762</v>
      </c>
      <c r="Q123" s="4" t="s">
        <v>51</v>
      </c>
      <c r="R123" s="4"/>
      <c r="S123" s="16" t="n">
        <f aca="false">IF(ISNUMBER(SEARCH("E0",$H123)),1,0)</f>
        <v>1</v>
      </c>
      <c r="T123" s="16" t="n">
        <f aca="false">IF(ISNUMBER(SEARCH("E1",$H123)),1,0)</f>
        <v>0</v>
      </c>
      <c r="U123" s="16" t="n">
        <f aca="false">IF(ISNUMBER(SEARCH("E2",$H123)),1,0)</f>
        <v>0</v>
      </c>
      <c r="V123" s="16" t="n">
        <f aca="false">IF(ISNUMBER(SEARCH("E3",$H123)),1,0)</f>
        <v>0</v>
      </c>
      <c r="W123" s="16" t="n">
        <f aca="false">IF(ISNUMBER(SEARCH("E4",$H123)),1,0)</f>
        <v>0</v>
      </c>
      <c r="X123" s="16" t="n">
        <f aca="false">IF(ISNUMBER(SEARCH("E5",$H123)),1,0)</f>
        <v>0</v>
      </c>
      <c r="Y123" s="16" t="n">
        <f aca="false">IF(ISNUMBER(SEARCH("E6",$H123)),1,0)</f>
        <v>0</v>
      </c>
      <c r="Z123" s="16" t="n">
        <f aca="false">IF(ISNUMBER(SEARCH("E7",$H123)),1,0)</f>
        <v>0</v>
      </c>
      <c r="AA123" s="16" t="n">
        <f aca="false">IF(ISNUMBER(SEARCH("E8",$H123)),1,0)</f>
        <v>0</v>
      </c>
      <c r="AB123" s="16" t="n">
        <f aca="false">IF(ISNUMBER(SEARCH("E9",$H123)),1,0)</f>
        <v>0</v>
      </c>
      <c r="AC123" s="16" t="n">
        <f aca="false">IF(ISNUMBER(SEARCH("TR",$H123)),1,0)</f>
        <v>0</v>
      </c>
      <c r="AD123" s="10" t="s">
        <v>182</v>
      </c>
      <c r="AE123" s="17" t="n">
        <f aca="false">IF(ISNUMBER(SEARCH("S0",$AD123)),1,0)</f>
        <v>1</v>
      </c>
      <c r="AF123" s="17" t="n">
        <f aca="false">IF(ISNUMBER(SEARCH("R01",$AD123)),1,0)</f>
        <v>0</v>
      </c>
      <c r="AG123" s="17" t="n">
        <f aca="false">IF(ISNUMBER(SEARCH("R02R03",$AD123)),1,0)</f>
        <v>0</v>
      </c>
      <c r="AH123" s="17" t="n">
        <f aca="false">IF(ISNUMBER(SEARCH("R04",$AD123)),1,0)</f>
        <v>0</v>
      </c>
      <c r="AI123" s="17" t="n">
        <f aca="false">IF(ISNUMBER(SEARCH("R05",$AD123)),1,0)</f>
        <v>0</v>
      </c>
      <c r="AJ123" s="17" t="n">
        <f aca="false">IF(ISNUMBER(SEARCH("S3R06",$AD123)),1,0)</f>
        <v>0</v>
      </c>
      <c r="AK123" s="17" t="n">
        <f aca="false">IF(ISNUMBER(SEARCH("R07",$AD123)),1,0)</f>
        <v>0</v>
      </c>
      <c r="AL123" s="17" t="n">
        <f aca="false">IF(ISNUMBER(SEARCH("R09",$AD123)),1,0)</f>
        <v>0</v>
      </c>
      <c r="AM123" s="17" t="n">
        <f aca="false">IF(ISNUMBER(SEARCH("R10",$AD123)),1,0)</f>
        <v>0</v>
      </c>
      <c r="AN123" s="17" t="n">
        <f aca="false">IF(ISNUMBER(SEARCH("S5",$AD123)),1,0)</f>
        <v>0</v>
      </c>
      <c r="AO123" s="17" t="n">
        <f aca="false">IF(ISNUMBER(SEARCH("S6",$AD123)),1,0)</f>
        <v>0</v>
      </c>
      <c r="AP123" s="17" t="n">
        <f aca="false">IF(ISNUMBER(SEARCH("TR",$AD123)),1,0)</f>
        <v>0</v>
      </c>
    </row>
    <row r="124" customFormat="false" ht="34.5" hidden="false" customHeight="true" outlineLevel="0" collapsed="false">
      <c r="A124" s="4" t="s">
        <v>780</v>
      </c>
      <c r="B124" s="4" t="s">
        <v>758</v>
      </c>
      <c r="C124" s="4" t="s">
        <v>759</v>
      </c>
      <c r="D124" s="4" t="s">
        <v>781</v>
      </c>
      <c r="E124" s="4" t="s">
        <v>44</v>
      </c>
      <c r="F124" s="4" t="s">
        <v>197</v>
      </c>
      <c r="G124" s="4" t="s">
        <v>76</v>
      </c>
      <c r="H124" s="4" t="s">
        <v>139</v>
      </c>
      <c r="I124" s="4" t="s">
        <v>93</v>
      </c>
      <c r="J124" s="4" t="s">
        <v>86</v>
      </c>
      <c r="K124" s="4" t="s">
        <v>774</v>
      </c>
      <c r="L124" s="4" t="s">
        <v>48</v>
      </c>
      <c r="M124" s="4" t="s">
        <v>80</v>
      </c>
      <c r="N124" s="4" t="s">
        <v>50</v>
      </c>
      <c r="O124" s="4" t="s">
        <v>782</v>
      </c>
      <c r="P124" s="4" t="s">
        <v>762</v>
      </c>
      <c r="Q124" s="4" t="s">
        <v>51</v>
      </c>
      <c r="R124" s="4" t="s">
        <v>783</v>
      </c>
      <c r="S124" s="16" t="n">
        <f aca="false">IF(ISNUMBER(SEARCH("E0",$H124)),1,0)</f>
        <v>1</v>
      </c>
      <c r="T124" s="16" t="n">
        <f aca="false">IF(ISNUMBER(SEARCH("E1",$H124)),1,0)</f>
        <v>0</v>
      </c>
      <c r="U124" s="16" t="n">
        <f aca="false">IF(ISNUMBER(SEARCH("E2",$H124)),1,0)</f>
        <v>0</v>
      </c>
      <c r="V124" s="16" t="n">
        <f aca="false">IF(ISNUMBER(SEARCH("E3",$H124)),1,0)</f>
        <v>0</v>
      </c>
      <c r="W124" s="16" t="n">
        <f aca="false">IF(ISNUMBER(SEARCH("E4",$H124)),1,0)</f>
        <v>0</v>
      </c>
      <c r="X124" s="16" t="n">
        <f aca="false">IF(ISNUMBER(SEARCH("E5",$H124)),1,0)</f>
        <v>0</v>
      </c>
      <c r="Y124" s="16" t="n">
        <f aca="false">IF(ISNUMBER(SEARCH("E6",$H124)),1,0)</f>
        <v>0</v>
      </c>
      <c r="Z124" s="16" t="n">
        <f aca="false">IF(ISNUMBER(SEARCH("E7",$H124)),1,0)</f>
        <v>0</v>
      </c>
      <c r="AA124" s="16" t="n">
        <f aca="false">IF(ISNUMBER(SEARCH("E8",$H124)),1,0)</f>
        <v>0</v>
      </c>
      <c r="AB124" s="16" t="n">
        <f aca="false">IF(ISNUMBER(SEARCH("E9",$H124)),1,0)</f>
        <v>0</v>
      </c>
      <c r="AC124" s="16" t="n">
        <f aca="false">IF(ISNUMBER(SEARCH("TR",$H124)),1,0)</f>
        <v>0</v>
      </c>
      <c r="AD124" s="10" t="s">
        <v>182</v>
      </c>
      <c r="AE124" s="17" t="n">
        <f aca="false">IF(ISNUMBER(SEARCH("S0",$AD124)),1,0)</f>
        <v>1</v>
      </c>
      <c r="AF124" s="17" t="n">
        <f aca="false">IF(ISNUMBER(SEARCH("R01",$AD124)),1,0)</f>
        <v>0</v>
      </c>
      <c r="AG124" s="17" t="n">
        <f aca="false">IF(ISNUMBER(SEARCH("R02R03",$AD124)),1,0)</f>
        <v>0</v>
      </c>
      <c r="AH124" s="17" t="n">
        <f aca="false">IF(ISNUMBER(SEARCH("R04",$AD124)),1,0)</f>
        <v>0</v>
      </c>
      <c r="AI124" s="17" t="n">
        <f aca="false">IF(ISNUMBER(SEARCH("R05",$AD124)),1,0)</f>
        <v>0</v>
      </c>
      <c r="AJ124" s="17" t="n">
        <f aca="false">IF(ISNUMBER(SEARCH("S3R06",$AD124)),1,0)</f>
        <v>0</v>
      </c>
      <c r="AK124" s="17" t="n">
        <f aca="false">IF(ISNUMBER(SEARCH("R07",$AD124)),1,0)</f>
        <v>0</v>
      </c>
      <c r="AL124" s="17" t="n">
        <f aca="false">IF(ISNUMBER(SEARCH("R09",$AD124)),1,0)</f>
        <v>0</v>
      </c>
      <c r="AM124" s="17" t="n">
        <f aca="false">IF(ISNUMBER(SEARCH("R10",$AD124)),1,0)</f>
        <v>0</v>
      </c>
      <c r="AN124" s="17" t="n">
        <f aca="false">IF(ISNUMBER(SEARCH("S5",$AD124)),1,0)</f>
        <v>0</v>
      </c>
      <c r="AO124" s="17" t="n">
        <f aca="false">IF(ISNUMBER(SEARCH("S6",$AD124)),1,0)</f>
        <v>0</v>
      </c>
      <c r="AP124" s="17" t="n">
        <f aca="false">IF(ISNUMBER(SEARCH("TR",$AD124)),1,0)</f>
        <v>0</v>
      </c>
    </row>
    <row r="125" customFormat="false" ht="45.75" hidden="false" customHeight="true" outlineLevel="0" collapsed="false">
      <c r="A125" s="4" t="s">
        <v>784</v>
      </c>
      <c r="B125" s="4" t="s">
        <v>758</v>
      </c>
      <c r="C125" s="4" t="s">
        <v>759</v>
      </c>
      <c r="D125" s="4" t="s">
        <v>785</v>
      </c>
      <c r="E125" s="4" t="s">
        <v>44</v>
      </c>
      <c r="F125" s="4" t="s">
        <v>197</v>
      </c>
      <c r="G125" s="4" t="s">
        <v>76</v>
      </c>
      <c r="H125" s="4" t="s">
        <v>161</v>
      </c>
      <c r="I125" s="4" t="s">
        <v>118</v>
      </c>
      <c r="J125" s="4" t="s">
        <v>86</v>
      </c>
      <c r="K125" s="4" t="s">
        <v>198</v>
      </c>
      <c r="L125" s="4" t="s">
        <v>48</v>
      </c>
      <c r="M125" s="4" t="s">
        <v>80</v>
      </c>
      <c r="N125" s="4" t="s">
        <v>50</v>
      </c>
      <c r="O125" s="4" t="s">
        <v>786</v>
      </c>
      <c r="P125" s="4" t="s">
        <v>762</v>
      </c>
      <c r="Q125" s="4" t="s">
        <v>51</v>
      </c>
      <c r="R125" s="4" t="s">
        <v>787</v>
      </c>
      <c r="S125" s="16" t="n">
        <f aca="false">IF(ISNUMBER(SEARCH("E0",$H125)),1,0)</f>
        <v>0</v>
      </c>
      <c r="T125" s="16" t="n">
        <f aca="false">IF(ISNUMBER(SEARCH("E1",$H125)),1,0)</f>
        <v>0</v>
      </c>
      <c r="U125" s="16" t="n">
        <f aca="false">IF(ISNUMBER(SEARCH("E2",$H125)),1,0)</f>
        <v>0</v>
      </c>
      <c r="V125" s="16" t="n">
        <f aca="false">IF(ISNUMBER(SEARCH("E3",$H125)),1,0)</f>
        <v>0</v>
      </c>
      <c r="W125" s="16" t="n">
        <f aca="false">IF(ISNUMBER(SEARCH("E4",$H125)),1,0)</f>
        <v>0</v>
      </c>
      <c r="X125" s="16" t="n">
        <f aca="false">IF(ISNUMBER(SEARCH("E5",$H125)),1,0)</f>
        <v>0</v>
      </c>
      <c r="Y125" s="16" t="n">
        <f aca="false">IF(ISNUMBER(SEARCH("E6",$H125)),1,0)</f>
        <v>0</v>
      </c>
      <c r="Z125" s="16" t="n">
        <f aca="false">IF(ISNUMBER(SEARCH("E7",$H125)),1,0)</f>
        <v>0</v>
      </c>
      <c r="AA125" s="16" t="n">
        <f aca="false">IF(ISNUMBER(SEARCH("E8",$H125)),1,0)</f>
        <v>0</v>
      </c>
      <c r="AB125" s="16" t="n">
        <f aca="false">IF(ISNUMBER(SEARCH("E9",$H125)),1,0)</f>
        <v>0</v>
      </c>
      <c r="AC125" s="16" t="n">
        <f aca="false">IF(ISNUMBER(SEARCH("TR",$H125)),1,0)</f>
        <v>1</v>
      </c>
      <c r="AD125" s="10" t="s">
        <v>161</v>
      </c>
      <c r="AE125" s="17" t="n">
        <f aca="false">IF(ISNUMBER(SEARCH("S0",$AD125)),1,0)</f>
        <v>0</v>
      </c>
      <c r="AF125" s="17" t="n">
        <f aca="false">IF(ISNUMBER(SEARCH("R01",$AD125)),1,0)</f>
        <v>0</v>
      </c>
      <c r="AG125" s="17" t="n">
        <f aca="false">IF(ISNUMBER(SEARCH("R02R03",$AD125)),1,0)</f>
        <v>0</v>
      </c>
      <c r="AH125" s="17" t="n">
        <f aca="false">IF(ISNUMBER(SEARCH("R04",$AD125)),1,0)</f>
        <v>0</v>
      </c>
      <c r="AI125" s="17" t="n">
        <f aca="false">IF(ISNUMBER(SEARCH("R05",$AD125)),1,0)</f>
        <v>0</v>
      </c>
      <c r="AJ125" s="17" t="n">
        <f aca="false">IF(ISNUMBER(SEARCH("S3R06",$AD125)),1,0)</f>
        <v>0</v>
      </c>
      <c r="AK125" s="17" t="n">
        <f aca="false">IF(ISNUMBER(SEARCH("R07",$AD125)),1,0)</f>
        <v>0</v>
      </c>
      <c r="AL125" s="17" t="n">
        <f aca="false">IF(ISNUMBER(SEARCH("R09",$AD125)),1,0)</f>
        <v>0</v>
      </c>
      <c r="AM125" s="17" t="n">
        <f aca="false">IF(ISNUMBER(SEARCH("R10",$AD125)),1,0)</f>
        <v>0</v>
      </c>
      <c r="AN125" s="17" t="n">
        <f aca="false">IF(ISNUMBER(SEARCH("S5",$AD125)),1,0)</f>
        <v>0</v>
      </c>
      <c r="AO125" s="17" t="n">
        <f aca="false">IF(ISNUMBER(SEARCH("S6",$AD125)),1,0)</f>
        <v>0</v>
      </c>
      <c r="AP125" s="17" t="n">
        <f aca="false">IF(ISNUMBER(SEARCH("TR",$AD125)),1,0)</f>
        <v>1</v>
      </c>
    </row>
    <row r="126" customFormat="false" ht="34.5" hidden="false" customHeight="true" outlineLevel="0" collapsed="false">
      <c r="A126" s="4" t="s">
        <v>788</v>
      </c>
      <c r="B126" s="4" t="s">
        <v>758</v>
      </c>
      <c r="C126" s="4" t="s">
        <v>759</v>
      </c>
      <c r="D126" s="4" t="s">
        <v>789</v>
      </c>
      <c r="E126" s="4" t="s">
        <v>44</v>
      </c>
      <c r="F126" s="4" t="s">
        <v>197</v>
      </c>
      <c r="G126" s="4" t="s">
        <v>76</v>
      </c>
      <c r="H126" s="4" t="s">
        <v>161</v>
      </c>
      <c r="I126" s="4" t="s">
        <v>118</v>
      </c>
      <c r="J126" s="4" t="s">
        <v>86</v>
      </c>
      <c r="K126" s="4" t="s">
        <v>198</v>
      </c>
      <c r="L126" s="4" t="s">
        <v>48</v>
      </c>
      <c r="M126" s="4" t="s">
        <v>80</v>
      </c>
      <c r="N126" s="4" t="s">
        <v>50</v>
      </c>
      <c r="O126" s="4" t="s">
        <v>790</v>
      </c>
      <c r="P126" s="4" t="s">
        <v>762</v>
      </c>
      <c r="Q126" s="4" t="s">
        <v>51</v>
      </c>
      <c r="R126" s="4" t="s">
        <v>791</v>
      </c>
      <c r="S126" s="16" t="n">
        <f aca="false">IF(ISNUMBER(SEARCH("E0",$H126)),1,0)</f>
        <v>0</v>
      </c>
      <c r="T126" s="16" t="n">
        <f aca="false">IF(ISNUMBER(SEARCH("E1",$H126)),1,0)</f>
        <v>0</v>
      </c>
      <c r="U126" s="16" t="n">
        <f aca="false">IF(ISNUMBER(SEARCH("E2",$H126)),1,0)</f>
        <v>0</v>
      </c>
      <c r="V126" s="16" t="n">
        <f aca="false">IF(ISNUMBER(SEARCH("E3",$H126)),1,0)</f>
        <v>0</v>
      </c>
      <c r="W126" s="16" t="n">
        <f aca="false">IF(ISNUMBER(SEARCH("E4",$H126)),1,0)</f>
        <v>0</v>
      </c>
      <c r="X126" s="16" t="n">
        <f aca="false">IF(ISNUMBER(SEARCH("E5",$H126)),1,0)</f>
        <v>0</v>
      </c>
      <c r="Y126" s="16" t="n">
        <f aca="false">IF(ISNUMBER(SEARCH("E6",$H126)),1,0)</f>
        <v>0</v>
      </c>
      <c r="Z126" s="16" t="n">
        <f aca="false">IF(ISNUMBER(SEARCH("E7",$H126)),1,0)</f>
        <v>0</v>
      </c>
      <c r="AA126" s="16" t="n">
        <f aca="false">IF(ISNUMBER(SEARCH("E8",$H126)),1,0)</f>
        <v>0</v>
      </c>
      <c r="AB126" s="16" t="n">
        <f aca="false">IF(ISNUMBER(SEARCH("E9",$H126)),1,0)</f>
        <v>0</v>
      </c>
      <c r="AC126" s="16" t="n">
        <f aca="false">IF(ISNUMBER(SEARCH("TR",$H126)),1,0)</f>
        <v>1</v>
      </c>
      <c r="AD126" s="10" t="s">
        <v>161</v>
      </c>
      <c r="AE126" s="17" t="n">
        <f aca="false">IF(ISNUMBER(SEARCH("S0",$AD126)),1,0)</f>
        <v>0</v>
      </c>
      <c r="AF126" s="17" t="n">
        <f aca="false">IF(ISNUMBER(SEARCH("R01",$AD126)),1,0)</f>
        <v>0</v>
      </c>
      <c r="AG126" s="17" t="n">
        <f aca="false">IF(ISNUMBER(SEARCH("R02R03",$AD126)),1,0)</f>
        <v>0</v>
      </c>
      <c r="AH126" s="17" t="n">
        <f aca="false">IF(ISNUMBER(SEARCH("R04",$AD126)),1,0)</f>
        <v>0</v>
      </c>
      <c r="AI126" s="17" t="n">
        <f aca="false">IF(ISNUMBER(SEARCH("R05",$AD126)),1,0)</f>
        <v>0</v>
      </c>
      <c r="AJ126" s="17" t="n">
        <f aca="false">IF(ISNUMBER(SEARCH("S3R06",$AD126)),1,0)</f>
        <v>0</v>
      </c>
      <c r="AK126" s="17" t="n">
        <f aca="false">IF(ISNUMBER(SEARCH("R07",$AD126)),1,0)</f>
        <v>0</v>
      </c>
      <c r="AL126" s="17" t="n">
        <f aca="false">IF(ISNUMBER(SEARCH("R09",$AD126)),1,0)</f>
        <v>0</v>
      </c>
      <c r="AM126" s="17" t="n">
        <f aca="false">IF(ISNUMBER(SEARCH("R10",$AD126)),1,0)</f>
        <v>0</v>
      </c>
      <c r="AN126" s="17" t="n">
        <f aca="false">IF(ISNUMBER(SEARCH("S5",$AD126)),1,0)</f>
        <v>0</v>
      </c>
      <c r="AO126" s="17" t="n">
        <f aca="false">IF(ISNUMBER(SEARCH("S6",$AD126)),1,0)</f>
        <v>0</v>
      </c>
      <c r="AP126" s="17" t="n">
        <f aca="false">IF(ISNUMBER(SEARCH("TR",$AD126)),1,0)</f>
        <v>1</v>
      </c>
    </row>
    <row r="127" customFormat="false" ht="45.75" hidden="false" customHeight="true" outlineLevel="0" collapsed="false">
      <c r="A127" s="4" t="s">
        <v>792</v>
      </c>
      <c r="B127" s="4" t="s">
        <v>758</v>
      </c>
      <c r="C127" s="4" t="s">
        <v>759</v>
      </c>
      <c r="D127" s="4" t="s">
        <v>793</v>
      </c>
      <c r="E127" s="4" t="s">
        <v>44</v>
      </c>
      <c r="F127" s="4" t="s">
        <v>197</v>
      </c>
      <c r="G127" s="4" t="s">
        <v>110</v>
      </c>
      <c r="H127" s="4" t="s">
        <v>156</v>
      </c>
      <c r="I127" s="4" t="s">
        <v>77</v>
      </c>
      <c r="J127" s="4" t="s">
        <v>86</v>
      </c>
      <c r="K127" s="4" t="s">
        <v>198</v>
      </c>
      <c r="L127" s="4" t="s">
        <v>48</v>
      </c>
      <c r="M127" s="4" t="s">
        <v>80</v>
      </c>
      <c r="N127" s="4" t="s">
        <v>50</v>
      </c>
      <c r="O127" s="4" t="s">
        <v>794</v>
      </c>
      <c r="P127" s="4" t="s">
        <v>762</v>
      </c>
      <c r="Q127" s="4" t="s">
        <v>51</v>
      </c>
      <c r="R127" s="4" t="s">
        <v>795</v>
      </c>
      <c r="S127" s="16" t="n">
        <f aca="false">IF(ISNUMBER(SEARCH("E0",$H127)),1,0)</f>
        <v>0</v>
      </c>
      <c r="T127" s="16" t="n">
        <f aca="false">IF(ISNUMBER(SEARCH("E1",$H127)),1,0)</f>
        <v>0</v>
      </c>
      <c r="U127" s="16" t="n">
        <f aca="false">IF(ISNUMBER(SEARCH("E2",$H127)),1,0)</f>
        <v>0</v>
      </c>
      <c r="V127" s="16" t="n">
        <f aca="false">IF(ISNUMBER(SEARCH("E3",$H127)),1,0)</f>
        <v>0</v>
      </c>
      <c r="W127" s="16" t="n">
        <f aca="false">IF(ISNUMBER(SEARCH("E4",$H127)),1,0)</f>
        <v>0</v>
      </c>
      <c r="X127" s="16" t="n">
        <f aca="false">IF(ISNUMBER(SEARCH("E5",$H127)),1,0)</f>
        <v>0</v>
      </c>
      <c r="Y127" s="16" t="n">
        <f aca="false">IF(ISNUMBER(SEARCH("E6",$H127)),1,0)</f>
        <v>0</v>
      </c>
      <c r="Z127" s="16" t="n">
        <f aca="false">IF(ISNUMBER(SEARCH("E7",$H127)),1,0)</f>
        <v>0</v>
      </c>
      <c r="AA127" s="16" t="n">
        <f aca="false">IF(ISNUMBER(SEARCH("E8",$H127)),1,0)</f>
        <v>1</v>
      </c>
      <c r="AB127" s="16" t="n">
        <f aca="false">IF(ISNUMBER(SEARCH("E9",$H127)),1,0)</f>
        <v>0</v>
      </c>
      <c r="AC127" s="16" t="n">
        <f aca="false">IF(ISNUMBER(SEARCH("TR",$H127)),1,0)</f>
        <v>0</v>
      </c>
      <c r="AD127" s="10" t="s">
        <v>191</v>
      </c>
      <c r="AE127" s="17" t="n">
        <f aca="false">IF(ISNUMBER(SEARCH("S0",$AD127)),1,0)</f>
        <v>0</v>
      </c>
      <c r="AF127" s="17" t="n">
        <f aca="false">IF(ISNUMBER(SEARCH("R01",$AD127)),1,0)</f>
        <v>0</v>
      </c>
      <c r="AG127" s="17" t="n">
        <f aca="false">IF(ISNUMBER(SEARCH("R02R03",$AD127)),1,0)</f>
        <v>0</v>
      </c>
      <c r="AH127" s="17" t="n">
        <f aca="false">IF(ISNUMBER(SEARCH("R04",$AD127)),1,0)</f>
        <v>0</v>
      </c>
      <c r="AI127" s="17" t="n">
        <f aca="false">IF(ISNUMBER(SEARCH("R05",$AD127)),1,0)</f>
        <v>0</v>
      </c>
      <c r="AJ127" s="17" t="n">
        <f aca="false">IF(ISNUMBER(SEARCH("S3R06",$AD127)),1,0)</f>
        <v>0</v>
      </c>
      <c r="AK127" s="17" t="n">
        <f aca="false">IF(ISNUMBER(SEARCH("R07",$AD127)),1,0)</f>
        <v>0</v>
      </c>
      <c r="AL127" s="17" t="n">
        <f aca="false">IF(ISNUMBER(SEARCH("R09",$AD127)),1,0)</f>
        <v>0</v>
      </c>
      <c r="AM127" s="17" t="n">
        <f aca="false">IF(ISNUMBER(SEARCH("R10",$AD127)),1,0)</f>
        <v>0</v>
      </c>
      <c r="AN127" s="17" t="n">
        <f aca="false">IF(ISNUMBER(SEARCH("S5",$AD127)),1,0)</f>
        <v>1</v>
      </c>
      <c r="AO127" s="17" t="n">
        <f aca="false">IF(ISNUMBER(SEARCH("S6",$AD127)),1,0)</f>
        <v>0</v>
      </c>
      <c r="AP127" s="17" t="n">
        <f aca="false">IF(ISNUMBER(SEARCH("TR",$AD127)),1,0)</f>
        <v>0</v>
      </c>
    </row>
    <row r="128" customFormat="false" ht="45.75" hidden="false" customHeight="true" outlineLevel="0" collapsed="false">
      <c r="A128" s="4" t="s">
        <v>796</v>
      </c>
      <c r="B128" s="4" t="s">
        <v>758</v>
      </c>
      <c r="C128" s="4" t="s">
        <v>759</v>
      </c>
      <c r="D128" s="4" t="s">
        <v>797</v>
      </c>
      <c r="E128" s="4" t="s">
        <v>44</v>
      </c>
      <c r="F128" s="4" t="s">
        <v>197</v>
      </c>
      <c r="G128" s="4" t="s">
        <v>98</v>
      </c>
      <c r="H128" s="4" t="s">
        <v>643</v>
      </c>
      <c r="I128" s="4" t="s">
        <v>106</v>
      </c>
      <c r="J128" s="4" t="s">
        <v>86</v>
      </c>
      <c r="K128" s="4" t="s">
        <v>198</v>
      </c>
      <c r="L128" s="4" t="s">
        <v>48</v>
      </c>
      <c r="M128" s="4" t="s">
        <v>80</v>
      </c>
      <c r="N128" s="4" t="s">
        <v>50</v>
      </c>
      <c r="O128" s="4" t="s">
        <v>798</v>
      </c>
      <c r="P128" s="4" t="s">
        <v>762</v>
      </c>
      <c r="Q128" s="4" t="s">
        <v>51</v>
      </c>
      <c r="R128" s="4" t="s">
        <v>799</v>
      </c>
      <c r="S128" s="16" t="n">
        <f aca="false">IF(ISNUMBER(SEARCH("E0",$H128)),1,0)</f>
        <v>0</v>
      </c>
      <c r="T128" s="16" t="n">
        <f aca="false">IF(ISNUMBER(SEARCH("E1",$H128)),1,0)</f>
        <v>0</v>
      </c>
      <c r="U128" s="16" t="n">
        <f aca="false">IF(ISNUMBER(SEARCH("E2",$H128)),1,0)</f>
        <v>0</v>
      </c>
      <c r="V128" s="16" t="n">
        <f aca="false">IF(ISNUMBER(SEARCH("E3",$H128)),1,0)</f>
        <v>0</v>
      </c>
      <c r="W128" s="16" t="n">
        <f aca="false">IF(ISNUMBER(SEARCH("E4",$H128)),1,0)</f>
        <v>0</v>
      </c>
      <c r="X128" s="16" t="n">
        <f aca="false">IF(ISNUMBER(SEARCH("E5",$H128)),1,0)</f>
        <v>1</v>
      </c>
      <c r="Y128" s="16" t="n">
        <f aca="false">IF(ISNUMBER(SEARCH("E6",$H128)),1,0)</f>
        <v>0</v>
      </c>
      <c r="Z128" s="16" t="n">
        <f aca="false">IF(ISNUMBER(SEARCH("E7",$H128)),1,0)</f>
        <v>0</v>
      </c>
      <c r="AA128" s="16" t="n">
        <f aca="false">IF(ISNUMBER(SEARCH("E8",$H128)),1,0)</f>
        <v>1</v>
      </c>
      <c r="AB128" s="16" t="n">
        <f aca="false">IF(ISNUMBER(SEARCH("E9",$H128)),1,0)</f>
        <v>0</v>
      </c>
      <c r="AC128" s="16" t="n">
        <f aca="false">IF(ISNUMBER(SEARCH("TR",$H128)),1,0)</f>
        <v>0</v>
      </c>
      <c r="AD128" s="10" t="s">
        <v>646</v>
      </c>
      <c r="AE128" s="17" t="n">
        <f aca="false">IF(ISNUMBER(SEARCH("S0",$AD128)),1,0)</f>
        <v>0</v>
      </c>
      <c r="AF128" s="17" t="n">
        <f aca="false">IF(ISNUMBER(SEARCH("R01",$AD128)),1,0)</f>
        <v>0</v>
      </c>
      <c r="AG128" s="17" t="n">
        <f aca="false">IF(ISNUMBER(SEARCH("R02R03",$AD128)),1,0)</f>
        <v>0</v>
      </c>
      <c r="AH128" s="17" t="n">
        <f aca="false">IF(ISNUMBER(SEARCH("R04",$AD128)),1,0)</f>
        <v>0</v>
      </c>
      <c r="AI128" s="17" t="n">
        <f aca="false">IF(ISNUMBER(SEARCH("R05",$AD128)),1,0)</f>
        <v>0</v>
      </c>
      <c r="AJ128" s="17" t="n">
        <f aca="false">IF(ISNUMBER(SEARCH("S3R06",$AD128)),1,0)</f>
        <v>1</v>
      </c>
      <c r="AK128" s="17" t="n">
        <f aca="false">IF(ISNUMBER(SEARCH("R07",$AD128)),1,0)</f>
        <v>0</v>
      </c>
      <c r="AL128" s="17" t="n">
        <f aca="false">IF(ISNUMBER(SEARCH("R09",$AD128)),1,0)</f>
        <v>0</v>
      </c>
      <c r="AM128" s="17" t="n">
        <f aca="false">IF(ISNUMBER(SEARCH("R10",$AD128)),1,0)</f>
        <v>0</v>
      </c>
      <c r="AN128" s="17" t="n">
        <f aca="false">IF(ISNUMBER(SEARCH("S5",$AD128)),1,0)</f>
        <v>1</v>
      </c>
      <c r="AO128" s="17" t="n">
        <f aca="false">IF(ISNUMBER(SEARCH("S6",$AD128)),1,0)</f>
        <v>0</v>
      </c>
      <c r="AP128" s="17" t="n">
        <f aca="false">IF(ISNUMBER(SEARCH("TR",$AD128)),1,0)</f>
        <v>0</v>
      </c>
    </row>
    <row r="129" customFormat="false" ht="34.5" hidden="false" customHeight="true" outlineLevel="0" collapsed="false">
      <c r="A129" s="4" t="s">
        <v>800</v>
      </c>
      <c r="B129" s="4" t="s">
        <v>758</v>
      </c>
      <c r="C129" s="4" t="s">
        <v>759</v>
      </c>
      <c r="D129" s="4" t="s">
        <v>745</v>
      </c>
      <c r="E129" s="4" t="s">
        <v>44</v>
      </c>
      <c r="F129" s="4" t="s">
        <v>197</v>
      </c>
      <c r="G129" s="4" t="s">
        <v>92</v>
      </c>
      <c r="H129" s="4" t="s">
        <v>161</v>
      </c>
      <c r="I129" s="4" t="s">
        <v>118</v>
      </c>
      <c r="J129" s="4" t="s">
        <v>86</v>
      </c>
      <c r="K129" s="4" t="s">
        <v>198</v>
      </c>
      <c r="L129" s="4" t="s">
        <v>95</v>
      </c>
      <c r="M129" s="4" t="s">
        <v>80</v>
      </c>
      <c r="N129" s="4" t="s">
        <v>50</v>
      </c>
      <c r="O129" s="4" t="s">
        <v>801</v>
      </c>
      <c r="P129" s="4" t="s">
        <v>762</v>
      </c>
      <c r="Q129" s="4" t="s">
        <v>51</v>
      </c>
      <c r="R129" s="4" t="s">
        <v>802</v>
      </c>
      <c r="S129" s="16" t="n">
        <f aca="false">IF(ISNUMBER(SEARCH("E0",$H129)),1,0)</f>
        <v>0</v>
      </c>
      <c r="T129" s="16" t="n">
        <f aca="false">IF(ISNUMBER(SEARCH("E1",$H129)),1,0)</f>
        <v>0</v>
      </c>
      <c r="U129" s="16" t="n">
        <f aca="false">IF(ISNUMBER(SEARCH("E2",$H129)),1,0)</f>
        <v>0</v>
      </c>
      <c r="V129" s="16" t="n">
        <f aca="false">IF(ISNUMBER(SEARCH("E3",$H129)),1,0)</f>
        <v>0</v>
      </c>
      <c r="W129" s="16" t="n">
        <f aca="false">IF(ISNUMBER(SEARCH("E4",$H129)),1,0)</f>
        <v>0</v>
      </c>
      <c r="X129" s="16" t="n">
        <f aca="false">IF(ISNUMBER(SEARCH("E5",$H129)),1,0)</f>
        <v>0</v>
      </c>
      <c r="Y129" s="16" t="n">
        <f aca="false">IF(ISNUMBER(SEARCH("E6",$H129)),1,0)</f>
        <v>0</v>
      </c>
      <c r="Z129" s="16" t="n">
        <f aca="false">IF(ISNUMBER(SEARCH("E7",$H129)),1,0)</f>
        <v>0</v>
      </c>
      <c r="AA129" s="16" t="n">
        <f aca="false">IF(ISNUMBER(SEARCH("E8",$H129)),1,0)</f>
        <v>0</v>
      </c>
      <c r="AB129" s="16" t="n">
        <f aca="false">IF(ISNUMBER(SEARCH("E9",$H129)),1,0)</f>
        <v>0</v>
      </c>
      <c r="AC129" s="16" t="n">
        <f aca="false">IF(ISNUMBER(SEARCH("TR",$H129)),1,0)</f>
        <v>1</v>
      </c>
      <c r="AD129" s="10" t="s">
        <v>161</v>
      </c>
      <c r="AE129" s="17" t="n">
        <f aca="false">IF(ISNUMBER(SEARCH("S0",$AD129)),1,0)</f>
        <v>0</v>
      </c>
      <c r="AF129" s="17" t="n">
        <f aca="false">IF(ISNUMBER(SEARCH("R01",$AD129)),1,0)</f>
        <v>0</v>
      </c>
      <c r="AG129" s="17" t="n">
        <f aca="false">IF(ISNUMBER(SEARCH("R02R03",$AD129)),1,0)</f>
        <v>0</v>
      </c>
      <c r="AH129" s="17" t="n">
        <f aca="false">IF(ISNUMBER(SEARCH("R04",$AD129)),1,0)</f>
        <v>0</v>
      </c>
      <c r="AI129" s="17" t="n">
        <f aca="false">IF(ISNUMBER(SEARCH("R05",$AD129)),1,0)</f>
        <v>0</v>
      </c>
      <c r="AJ129" s="17" t="n">
        <f aca="false">IF(ISNUMBER(SEARCH("S3R06",$AD129)),1,0)</f>
        <v>0</v>
      </c>
      <c r="AK129" s="17" t="n">
        <f aca="false">IF(ISNUMBER(SEARCH("R07",$AD129)),1,0)</f>
        <v>0</v>
      </c>
      <c r="AL129" s="17" t="n">
        <f aca="false">IF(ISNUMBER(SEARCH("R09",$AD129)),1,0)</f>
        <v>0</v>
      </c>
      <c r="AM129" s="17" t="n">
        <f aca="false">IF(ISNUMBER(SEARCH("R10",$AD129)),1,0)</f>
        <v>0</v>
      </c>
      <c r="AN129" s="17" t="n">
        <f aca="false">IF(ISNUMBER(SEARCH("S5",$AD129)),1,0)</f>
        <v>0</v>
      </c>
      <c r="AO129" s="17" t="n">
        <f aca="false">IF(ISNUMBER(SEARCH("S6",$AD129)),1,0)</f>
        <v>0</v>
      </c>
      <c r="AP129" s="17" t="n">
        <f aca="false">IF(ISNUMBER(SEARCH("TR",$AD129)),1,0)</f>
        <v>1</v>
      </c>
    </row>
    <row r="130" customFormat="false" ht="34.5" hidden="false" customHeight="true" outlineLevel="0" collapsed="false">
      <c r="A130" s="4" t="s">
        <v>803</v>
      </c>
      <c r="B130" s="4" t="s">
        <v>758</v>
      </c>
      <c r="C130" s="4" t="s">
        <v>759</v>
      </c>
      <c r="D130" s="4" t="s">
        <v>750</v>
      </c>
      <c r="E130" s="4" t="s">
        <v>44</v>
      </c>
      <c r="F130" s="4" t="s">
        <v>197</v>
      </c>
      <c r="G130" s="4" t="s">
        <v>110</v>
      </c>
      <c r="H130" s="4" t="s">
        <v>161</v>
      </c>
      <c r="I130" s="4" t="s">
        <v>118</v>
      </c>
      <c r="J130" s="4" t="s">
        <v>86</v>
      </c>
      <c r="K130" s="4" t="s">
        <v>198</v>
      </c>
      <c r="L130" s="4" t="s">
        <v>95</v>
      </c>
      <c r="M130" s="4" t="s">
        <v>80</v>
      </c>
      <c r="N130" s="4" t="s">
        <v>50</v>
      </c>
      <c r="O130" s="4" t="s">
        <v>804</v>
      </c>
      <c r="P130" s="4" t="s">
        <v>762</v>
      </c>
      <c r="Q130" s="4" t="s">
        <v>51</v>
      </c>
      <c r="R130" s="4" t="s">
        <v>805</v>
      </c>
      <c r="S130" s="16" t="n">
        <f aca="false">IF(ISNUMBER(SEARCH("E0",$H130)),1,0)</f>
        <v>0</v>
      </c>
      <c r="T130" s="16" t="n">
        <f aca="false">IF(ISNUMBER(SEARCH("E1",$H130)),1,0)</f>
        <v>0</v>
      </c>
      <c r="U130" s="16" t="n">
        <f aca="false">IF(ISNUMBER(SEARCH("E2",$H130)),1,0)</f>
        <v>0</v>
      </c>
      <c r="V130" s="16" t="n">
        <f aca="false">IF(ISNUMBER(SEARCH("E3",$H130)),1,0)</f>
        <v>0</v>
      </c>
      <c r="W130" s="16" t="n">
        <f aca="false">IF(ISNUMBER(SEARCH("E4",$H130)),1,0)</f>
        <v>0</v>
      </c>
      <c r="X130" s="16" t="n">
        <f aca="false">IF(ISNUMBER(SEARCH("E5",$H130)),1,0)</f>
        <v>0</v>
      </c>
      <c r="Y130" s="16" t="n">
        <f aca="false">IF(ISNUMBER(SEARCH("E6",$H130)),1,0)</f>
        <v>0</v>
      </c>
      <c r="Z130" s="16" t="n">
        <f aca="false">IF(ISNUMBER(SEARCH("E7",$H130)),1,0)</f>
        <v>0</v>
      </c>
      <c r="AA130" s="16" t="n">
        <f aca="false">IF(ISNUMBER(SEARCH("E8",$H130)),1,0)</f>
        <v>0</v>
      </c>
      <c r="AB130" s="16" t="n">
        <f aca="false">IF(ISNUMBER(SEARCH("E9",$H130)),1,0)</f>
        <v>0</v>
      </c>
      <c r="AC130" s="16" t="n">
        <f aca="false">IF(ISNUMBER(SEARCH("TR",$H130)),1,0)</f>
        <v>1</v>
      </c>
      <c r="AD130" s="10" t="s">
        <v>161</v>
      </c>
      <c r="AE130" s="17" t="n">
        <f aca="false">IF(ISNUMBER(SEARCH("S0",$AD130)),1,0)</f>
        <v>0</v>
      </c>
      <c r="AF130" s="17" t="n">
        <f aca="false">IF(ISNUMBER(SEARCH("R01",$AD130)),1,0)</f>
        <v>0</v>
      </c>
      <c r="AG130" s="17" t="n">
        <f aca="false">IF(ISNUMBER(SEARCH("R02R03",$AD130)),1,0)</f>
        <v>0</v>
      </c>
      <c r="AH130" s="17" t="n">
        <f aca="false">IF(ISNUMBER(SEARCH("R04",$AD130)),1,0)</f>
        <v>0</v>
      </c>
      <c r="AI130" s="17" t="n">
        <f aca="false">IF(ISNUMBER(SEARCH("R05",$AD130)),1,0)</f>
        <v>0</v>
      </c>
      <c r="AJ130" s="17" t="n">
        <f aca="false">IF(ISNUMBER(SEARCH("S3R06",$AD130)),1,0)</f>
        <v>0</v>
      </c>
      <c r="AK130" s="17" t="n">
        <f aca="false">IF(ISNUMBER(SEARCH("R07",$AD130)),1,0)</f>
        <v>0</v>
      </c>
      <c r="AL130" s="17" t="n">
        <f aca="false">IF(ISNUMBER(SEARCH("R09",$AD130)),1,0)</f>
        <v>0</v>
      </c>
      <c r="AM130" s="17" t="n">
        <f aca="false">IF(ISNUMBER(SEARCH("R10",$AD130)),1,0)</f>
        <v>0</v>
      </c>
      <c r="AN130" s="17" t="n">
        <f aca="false">IF(ISNUMBER(SEARCH("S5",$AD130)),1,0)</f>
        <v>0</v>
      </c>
      <c r="AO130" s="17" t="n">
        <f aca="false">IF(ISNUMBER(SEARCH("S6",$AD130)),1,0)</f>
        <v>0</v>
      </c>
      <c r="AP130" s="17" t="n">
        <f aca="false">IF(ISNUMBER(SEARCH("TR",$AD130)),1,0)</f>
        <v>1</v>
      </c>
    </row>
    <row r="131" customFormat="false" ht="34.5" hidden="false" customHeight="true" outlineLevel="0" collapsed="false">
      <c r="A131" s="4" t="s">
        <v>806</v>
      </c>
      <c r="B131" s="4" t="s">
        <v>758</v>
      </c>
      <c r="C131" s="4" t="s">
        <v>759</v>
      </c>
      <c r="D131" s="4" t="s">
        <v>807</v>
      </c>
      <c r="E131" s="4" t="s">
        <v>44</v>
      </c>
      <c r="F131" s="4" t="s">
        <v>197</v>
      </c>
      <c r="G131" s="4" t="s">
        <v>45</v>
      </c>
      <c r="H131" s="4" t="s">
        <v>161</v>
      </c>
      <c r="I131" s="4" t="s">
        <v>93</v>
      </c>
      <c r="J131" s="4" t="s">
        <v>86</v>
      </c>
      <c r="K131" s="4" t="s">
        <v>198</v>
      </c>
      <c r="L131" s="4" t="s">
        <v>79</v>
      </c>
      <c r="M131" s="4" t="s">
        <v>80</v>
      </c>
      <c r="N131" s="4" t="s">
        <v>50</v>
      </c>
      <c r="O131" s="4" t="s">
        <v>808</v>
      </c>
      <c r="P131" s="4" t="s">
        <v>762</v>
      </c>
      <c r="Q131" s="4" t="s">
        <v>51</v>
      </c>
      <c r="R131" s="4" t="s">
        <v>809</v>
      </c>
      <c r="S131" s="16" t="n">
        <f aca="false">IF(ISNUMBER(SEARCH("E0",$H131)),1,0)</f>
        <v>0</v>
      </c>
      <c r="T131" s="16" t="n">
        <f aca="false">IF(ISNUMBER(SEARCH("E1",$H131)),1,0)</f>
        <v>0</v>
      </c>
      <c r="U131" s="16" t="n">
        <f aca="false">IF(ISNUMBER(SEARCH("E2",$H131)),1,0)</f>
        <v>0</v>
      </c>
      <c r="V131" s="16" t="n">
        <f aca="false">IF(ISNUMBER(SEARCH("E3",$H131)),1,0)</f>
        <v>0</v>
      </c>
      <c r="W131" s="16" t="n">
        <f aca="false">IF(ISNUMBER(SEARCH("E4",$H131)),1,0)</f>
        <v>0</v>
      </c>
      <c r="X131" s="16" t="n">
        <f aca="false">IF(ISNUMBER(SEARCH("E5",$H131)),1,0)</f>
        <v>0</v>
      </c>
      <c r="Y131" s="16" t="n">
        <f aca="false">IF(ISNUMBER(SEARCH("E6",$H131)),1,0)</f>
        <v>0</v>
      </c>
      <c r="Z131" s="16" t="n">
        <f aca="false">IF(ISNUMBER(SEARCH("E7",$H131)),1,0)</f>
        <v>0</v>
      </c>
      <c r="AA131" s="16" t="n">
        <f aca="false">IF(ISNUMBER(SEARCH("E8",$H131)),1,0)</f>
        <v>0</v>
      </c>
      <c r="AB131" s="16" t="n">
        <f aca="false">IF(ISNUMBER(SEARCH("E9",$H131)),1,0)</f>
        <v>0</v>
      </c>
      <c r="AC131" s="16" t="n">
        <f aca="false">IF(ISNUMBER(SEARCH("TR",$H131)),1,0)</f>
        <v>1</v>
      </c>
      <c r="AD131" s="10" t="s">
        <v>161</v>
      </c>
      <c r="AE131" s="17" t="n">
        <f aca="false">IF(ISNUMBER(SEARCH("S0",$AD131)),1,0)</f>
        <v>0</v>
      </c>
      <c r="AF131" s="17" t="n">
        <f aca="false">IF(ISNUMBER(SEARCH("R01",$AD131)),1,0)</f>
        <v>0</v>
      </c>
      <c r="AG131" s="17" t="n">
        <f aca="false">IF(ISNUMBER(SEARCH("R02R03",$AD131)),1,0)</f>
        <v>0</v>
      </c>
      <c r="AH131" s="17" t="n">
        <f aca="false">IF(ISNUMBER(SEARCH("R04",$AD131)),1,0)</f>
        <v>0</v>
      </c>
      <c r="AI131" s="17" t="n">
        <f aca="false">IF(ISNUMBER(SEARCH("R05",$AD131)),1,0)</f>
        <v>0</v>
      </c>
      <c r="AJ131" s="17" t="n">
        <f aca="false">IF(ISNUMBER(SEARCH("S3R06",$AD131)),1,0)</f>
        <v>0</v>
      </c>
      <c r="AK131" s="17" t="n">
        <f aca="false">IF(ISNUMBER(SEARCH("R07",$AD131)),1,0)</f>
        <v>0</v>
      </c>
      <c r="AL131" s="17" t="n">
        <f aca="false">IF(ISNUMBER(SEARCH("R09",$AD131)),1,0)</f>
        <v>0</v>
      </c>
      <c r="AM131" s="17" t="n">
        <f aca="false">IF(ISNUMBER(SEARCH("R10",$AD131)),1,0)</f>
        <v>0</v>
      </c>
      <c r="AN131" s="17" t="n">
        <f aca="false">IF(ISNUMBER(SEARCH("S5",$AD131)),1,0)</f>
        <v>0</v>
      </c>
      <c r="AO131" s="17" t="n">
        <f aca="false">IF(ISNUMBER(SEARCH("S6",$AD131)),1,0)</f>
        <v>0</v>
      </c>
      <c r="AP131" s="17" t="n">
        <f aca="false">IF(ISNUMBER(SEARCH("TR",$AD131)),1,0)</f>
        <v>1</v>
      </c>
    </row>
    <row r="132" customFormat="false" ht="45.75" hidden="false" customHeight="true" outlineLevel="0" collapsed="false">
      <c r="A132" s="4" t="s">
        <v>810</v>
      </c>
      <c r="B132" s="4" t="s">
        <v>758</v>
      </c>
      <c r="C132" s="4" t="s">
        <v>759</v>
      </c>
      <c r="D132" s="4" t="s">
        <v>811</v>
      </c>
      <c r="E132" s="4" t="s">
        <v>44</v>
      </c>
      <c r="F132" s="4" t="s">
        <v>197</v>
      </c>
      <c r="G132" s="4" t="s">
        <v>92</v>
      </c>
      <c r="H132" s="4" t="s">
        <v>161</v>
      </c>
      <c r="I132" s="4" t="s">
        <v>99</v>
      </c>
      <c r="J132" s="4" t="s">
        <v>86</v>
      </c>
      <c r="K132" s="4" t="s">
        <v>812</v>
      </c>
      <c r="L132" s="4" t="s">
        <v>95</v>
      </c>
      <c r="M132" s="4" t="s">
        <v>80</v>
      </c>
      <c r="N132" s="4" t="s">
        <v>50</v>
      </c>
      <c r="O132" s="4" t="s">
        <v>813</v>
      </c>
      <c r="P132" s="4" t="s">
        <v>762</v>
      </c>
      <c r="Q132" s="4" t="s">
        <v>51</v>
      </c>
      <c r="R132" s="4" t="s">
        <v>814</v>
      </c>
      <c r="S132" s="16" t="n">
        <f aca="false">IF(ISNUMBER(SEARCH("E0",$H132)),1,0)</f>
        <v>0</v>
      </c>
      <c r="T132" s="16" t="n">
        <f aca="false">IF(ISNUMBER(SEARCH("E1",$H132)),1,0)</f>
        <v>0</v>
      </c>
      <c r="U132" s="16" t="n">
        <f aca="false">IF(ISNUMBER(SEARCH("E2",$H132)),1,0)</f>
        <v>0</v>
      </c>
      <c r="V132" s="16" t="n">
        <f aca="false">IF(ISNUMBER(SEARCH("E3",$H132)),1,0)</f>
        <v>0</v>
      </c>
      <c r="W132" s="16" t="n">
        <f aca="false">IF(ISNUMBER(SEARCH("E4",$H132)),1,0)</f>
        <v>0</v>
      </c>
      <c r="X132" s="16" t="n">
        <f aca="false">IF(ISNUMBER(SEARCH("E5",$H132)),1,0)</f>
        <v>0</v>
      </c>
      <c r="Y132" s="16" t="n">
        <f aca="false">IF(ISNUMBER(SEARCH("E6",$H132)),1,0)</f>
        <v>0</v>
      </c>
      <c r="Z132" s="16" t="n">
        <f aca="false">IF(ISNUMBER(SEARCH("E7",$H132)),1,0)</f>
        <v>0</v>
      </c>
      <c r="AA132" s="16" t="n">
        <f aca="false">IF(ISNUMBER(SEARCH("E8",$H132)),1,0)</f>
        <v>0</v>
      </c>
      <c r="AB132" s="16" t="n">
        <f aca="false">IF(ISNUMBER(SEARCH("E9",$H132)),1,0)</f>
        <v>0</v>
      </c>
      <c r="AC132" s="16" t="n">
        <f aca="false">IF(ISNUMBER(SEARCH("TR",$H132)),1,0)</f>
        <v>1</v>
      </c>
      <c r="AD132" s="10" t="s">
        <v>161</v>
      </c>
      <c r="AE132" s="17" t="n">
        <f aca="false">IF(ISNUMBER(SEARCH("S0",$AD132)),1,0)</f>
        <v>0</v>
      </c>
      <c r="AF132" s="17" t="n">
        <f aca="false">IF(ISNUMBER(SEARCH("R01",$AD132)),1,0)</f>
        <v>0</v>
      </c>
      <c r="AG132" s="17" t="n">
        <f aca="false">IF(ISNUMBER(SEARCH("R02R03",$AD132)),1,0)</f>
        <v>0</v>
      </c>
      <c r="AH132" s="17" t="n">
        <f aca="false">IF(ISNUMBER(SEARCH("R04",$AD132)),1,0)</f>
        <v>0</v>
      </c>
      <c r="AI132" s="17" t="n">
        <f aca="false">IF(ISNUMBER(SEARCH("R05",$AD132)),1,0)</f>
        <v>0</v>
      </c>
      <c r="AJ132" s="17" t="n">
        <f aca="false">IF(ISNUMBER(SEARCH("S3R06",$AD132)),1,0)</f>
        <v>0</v>
      </c>
      <c r="AK132" s="17" t="n">
        <f aca="false">IF(ISNUMBER(SEARCH("R07",$AD132)),1,0)</f>
        <v>0</v>
      </c>
      <c r="AL132" s="17" t="n">
        <f aca="false">IF(ISNUMBER(SEARCH("R09",$AD132)),1,0)</f>
        <v>0</v>
      </c>
      <c r="AM132" s="17" t="n">
        <f aca="false">IF(ISNUMBER(SEARCH("R10",$AD132)),1,0)</f>
        <v>0</v>
      </c>
      <c r="AN132" s="17" t="n">
        <f aca="false">IF(ISNUMBER(SEARCH("S5",$AD132)),1,0)</f>
        <v>0</v>
      </c>
      <c r="AO132" s="17" t="n">
        <f aca="false">IF(ISNUMBER(SEARCH("S6",$AD132)),1,0)</f>
        <v>0</v>
      </c>
      <c r="AP132" s="17" t="n">
        <f aca="false">IF(ISNUMBER(SEARCH("TR",$AD132)),1,0)</f>
        <v>1</v>
      </c>
    </row>
    <row r="133" customFormat="false" ht="157.5" hidden="false" customHeight="true" outlineLevel="0" collapsed="false">
      <c r="A133" s="4" t="s">
        <v>815</v>
      </c>
      <c r="B133" s="4" t="s">
        <v>816</v>
      </c>
      <c r="C133" s="4" t="s">
        <v>817</v>
      </c>
      <c r="D133" s="4" t="s">
        <v>818</v>
      </c>
      <c r="E133" s="4" t="s">
        <v>44</v>
      </c>
      <c r="F133" s="4" t="s">
        <v>819</v>
      </c>
      <c r="G133" s="4" t="s">
        <v>45</v>
      </c>
      <c r="H133" s="4" t="s">
        <v>161</v>
      </c>
      <c r="I133" s="4" t="s">
        <v>85</v>
      </c>
      <c r="J133" s="4" t="s">
        <v>94</v>
      </c>
      <c r="K133" s="4" t="s">
        <v>198</v>
      </c>
      <c r="L133" s="4" t="s">
        <v>101</v>
      </c>
      <c r="M133" s="4" t="s">
        <v>71</v>
      </c>
      <c r="N133" s="4" t="s">
        <v>50</v>
      </c>
      <c r="O133" s="4" t="s">
        <v>820</v>
      </c>
      <c r="P133" s="4" t="s">
        <v>821</v>
      </c>
      <c r="Q133" s="4" t="s">
        <v>51</v>
      </c>
      <c r="R133" s="4" t="s">
        <v>822</v>
      </c>
      <c r="S133" s="16" t="n">
        <f aca="false">IF(ISNUMBER(SEARCH("E0",$H133)),1,0)</f>
        <v>0</v>
      </c>
      <c r="T133" s="16" t="n">
        <f aca="false">IF(ISNUMBER(SEARCH("E1",$H133)),1,0)</f>
        <v>0</v>
      </c>
      <c r="U133" s="16" t="n">
        <f aca="false">IF(ISNUMBER(SEARCH("E2",$H133)),1,0)</f>
        <v>0</v>
      </c>
      <c r="V133" s="16" t="n">
        <f aca="false">IF(ISNUMBER(SEARCH("E3",$H133)),1,0)</f>
        <v>0</v>
      </c>
      <c r="W133" s="16" t="n">
        <f aca="false">IF(ISNUMBER(SEARCH("E4",$H133)),1,0)</f>
        <v>0</v>
      </c>
      <c r="X133" s="16" t="n">
        <f aca="false">IF(ISNUMBER(SEARCH("E5",$H133)),1,0)</f>
        <v>0</v>
      </c>
      <c r="Y133" s="16" t="n">
        <f aca="false">IF(ISNUMBER(SEARCH("E6",$H133)),1,0)</f>
        <v>0</v>
      </c>
      <c r="Z133" s="16" t="n">
        <f aca="false">IF(ISNUMBER(SEARCH("E7",$H133)),1,0)</f>
        <v>0</v>
      </c>
      <c r="AA133" s="16" t="n">
        <f aca="false">IF(ISNUMBER(SEARCH("E8",$H133)),1,0)</f>
        <v>0</v>
      </c>
      <c r="AB133" s="16" t="n">
        <f aca="false">IF(ISNUMBER(SEARCH("E9",$H133)),1,0)</f>
        <v>0</v>
      </c>
      <c r="AC133" s="16" t="n">
        <f aca="false">IF(ISNUMBER(SEARCH("TR",$H133)),1,0)</f>
        <v>1</v>
      </c>
      <c r="AD133" s="10" t="s">
        <v>161</v>
      </c>
      <c r="AE133" s="17" t="n">
        <f aca="false">IF(ISNUMBER(SEARCH("S0",$AD133)),1,0)</f>
        <v>0</v>
      </c>
      <c r="AF133" s="17" t="n">
        <f aca="false">IF(ISNUMBER(SEARCH("R01",$AD133)),1,0)</f>
        <v>0</v>
      </c>
      <c r="AG133" s="17" t="n">
        <f aca="false">IF(ISNUMBER(SEARCH("R02R03",$AD133)),1,0)</f>
        <v>0</v>
      </c>
      <c r="AH133" s="17" t="n">
        <f aca="false">IF(ISNUMBER(SEARCH("R04",$AD133)),1,0)</f>
        <v>0</v>
      </c>
      <c r="AI133" s="17" t="n">
        <f aca="false">IF(ISNUMBER(SEARCH("R05",$AD133)),1,0)</f>
        <v>0</v>
      </c>
      <c r="AJ133" s="17" t="n">
        <f aca="false">IF(ISNUMBER(SEARCH("S3R06",$AD133)),1,0)</f>
        <v>0</v>
      </c>
      <c r="AK133" s="17" t="n">
        <f aca="false">IF(ISNUMBER(SEARCH("R07",$AD133)),1,0)</f>
        <v>0</v>
      </c>
      <c r="AL133" s="17" t="n">
        <f aca="false">IF(ISNUMBER(SEARCH("R09",$AD133)),1,0)</f>
        <v>0</v>
      </c>
      <c r="AM133" s="17" t="n">
        <f aca="false">IF(ISNUMBER(SEARCH("R10",$AD133)),1,0)</f>
        <v>0</v>
      </c>
      <c r="AN133" s="17" t="n">
        <f aca="false">IF(ISNUMBER(SEARCH("S5",$AD133)),1,0)</f>
        <v>0</v>
      </c>
      <c r="AO133" s="17" t="n">
        <f aca="false">IF(ISNUMBER(SEARCH("S6",$AD133)),1,0)</f>
        <v>0</v>
      </c>
      <c r="AP133" s="17" t="n">
        <f aca="false">IF(ISNUMBER(SEARCH("TR",$AD133)),1,0)</f>
        <v>1</v>
      </c>
    </row>
    <row r="134" customFormat="false" ht="168.75" hidden="false" customHeight="true" outlineLevel="0" collapsed="false">
      <c r="A134" s="4" t="s">
        <v>823</v>
      </c>
      <c r="B134" s="4" t="s">
        <v>816</v>
      </c>
      <c r="C134" s="4" t="s">
        <v>817</v>
      </c>
      <c r="D134" s="4" t="s">
        <v>742</v>
      </c>
      <c r="E134" s="4" t="s">
        <v>44</v>
      </c>
      <c r="F134" s="4" t="s">
        <v>819</v>
      </c>
      <c r="G134" s="4" t="s">
        <v>45</v>
      </c>
      <c r="H134" s="4" t="s">
        <v>161</v>
      </c>
      <c r="I134" s="4" t="s">
        <v>85</v>
      </c>
      <c r="J134" s="4" t="s">
        <v>94</v>
      </c>
      <c r="K134" s="4" t="s">
        <v>198</v>
      </c>
      <c r="L134" s="4" t="s">
        <v>101</v>
      </c>
      <c r="M134" s="4" t="s">
        <v>71</v>
      </c>
      <c r="N134" s="4" t="s">
        <v>50</v>
      </c>
      <c r="O134" s="4" t="s">
        <v>824</v>
      </c>
      <c r="P134" s="4" t="s">
        <v>821</v>
      </c>
      <c r="Q134" s="4" t="s">
        <v>51</v>
      </c>
      <c r="R134" s="4" t="s">
        <v>825</v>
      </c>
      <c r="S134" s="16" t="n">
        <f aca="false">IF(ISNUMBER(SEARCH("E0",$H134)),1,0)</f>
        <v>0</v>
      </c>
      <c r="T134" s="16" t="n">
        <f aca="false">IF(ISNUMBER(SEARCH("E1",$H134)),1,0)</f>
        <v>0</v>
      </c>
      <c r="U134" s="16" t="n">
        <f aca="false">IF(ISNUMBER(SEARCH("E2",$H134)),1,0)</f>
        <v>0</v>
      </c>
      <c r="V134" s="16" t="n">
        <f aca="false">IF(ISNUMBER(SEARCH("E3",$H134)),1,0)</f>
        <v>0</v>
      </c>
      <c r="W134" s="16" t="n">
        <f aca="false">IF(ISNUMBER(SEARCH("E4",$H134)),1,0)</f>
        <v>0</v>
      </c>
      <c r="X134" s="16" t="n">
        <f aca="false">IF(ISNUMBER(SEARCH("E5",$H134)),1,0)</f>
        <v>0</v>
      </c>
      <c r="Y134" s="16" t="n">
        <f aca="false">IF(ISNUMBER(SEARCH("E6",$H134)),1,0)</f>
        <v>0</v>
      </c>
      <c r="Z134" s="16" t="n">
        <f aca="false">IF(ISNUMBER(SEARCH("E7",$H134)),1,0)</f>
        <v>0</v>
      </c>
      <c r="AA134" s="16" t="n">
        <f aca="false">IF(ISNUMBER(SEARCH("E8",$H134)),1,0)</f>
        <v>0</v>
      </c>
      <c r="AB134" s="16" t="n">
        <f aca="false">IF(ISNUMBER(SEARCH("E9",$H134)),1,0)</f>
        <v>0</v>
      </c>
      <c r="AC134" s="16" t="n">
        <f aca="false">IF(ISNUMBER(SEARCH("TR",$H134)),1,0)</f>
        <v>1</v>
      </c>
      <c r="AD134" s="10" t="s">
        <v>161</v>
      </c>
      <c r="AE134" s="17" t="n">
        <f aca="false">IF(ISNUMBER(SEARCH("S0",$AD134)),1,0)</f>
        <v>0</v>
      </c>
      <c r="AF134" s="17" t="n">
        <f aca="false">IF(ISNUMBER(SEARCH("R01",$AD134)),1,0)</f>
        <v>0</v>
      </c>
      <c r="AG134" s="17" t="n">
        <f aca="false">IF(ISNUMBER(SEARCH("R02R03",$AD134)),1,0)</f>
        <v>0</v>
      </c>
      <c r="AH134" s="17" t="n">
        <f aca="false">IF(ISNUMBER(SEARCH("R04",$AD134)),1,0)</f>
        <v>0</v>
      </c>
      <c r="AI134" s="17" t="n">
        <f aca="false">IF(ISNUMBER(SEARCH("R05",$AD134)),1,0)</f>
        <v>0</v>
      </c>
      <c r="AJ134" s="17" t="n">
        <f aca="false">IF(ISNUMBER(SEARCH("S3R06",$AD134)),1,0)</f>
        <v>0</v>
      </c>
      <c r="AK134" s="17" t="n">
        <f aca="false">IF(ISNUMBER(SEARCH("R07",$AD134)),1,0)</f>
        <v>0</v>
      </c>
      <c r="AL134" s="17" t="n">
        <f aca="false">IF(ISNUMBER(SEARCH("R09",$AD134)),1,0)</f>
        <v>0</v>
      </c>
      <c r="AM134" s="17" t="n">
        <f aca="false">IF(ISNUMBER(SEARCH("R10",$AD134)),1,0)</f>
        <v>0</v>
      </c>
      <c r="AN134" s="17" t="n">
        <f aca="false">IF(ISNUMBER(SEARCH("S5",$AD134)),1,0)</f>
        <v>0</v>
      </c>
      <c r="AO134" s="17" t="n">
        <f aca="false">IF(ISNUMBER(SEARCH("S6",$AD134)),1,0)</f>
        <v>0</v>
      </c>
      <c r="AP134" s="17" t="n">
        <f aca="false">IF(ISNUMBER(SEARCH("TR",$AD134)),1,0)</f>
        <v>1</v>
      </c>
    </row>
    <row r="135" customFormat="false" ht="135.75" hidden="false" customHeight="true" outlineLevel="0" collapsed="false">
      <c r="A135" s="4" t="s">
        <v>826</v>
      </c>
      <c r="B135" s="4" t="s">
        <v>816</v>
      </c>
      <c r="C135" s="4" t="s">
        <v>817</v>
      </c>
      <c r="D135" s="4" t="s">
        <v>827</v>
      </c>
      <c r="E135" s="4" t="s">
        <v>44</v>
      </c>
      <c r="F135" s="4" t="s">
        <v>819</v>
      </c>
      <c r="G135" s="4" t="s">
        <v>98</v>
      </c>
      <c r="H135" s="4" t="s">
        <v>161</v>
      </c>
      <c r="I135" s="4" t="s">
        <v>106</v>
      </c>
      <c r="J135" s="4" t="s">
        <v>94</v>
      </c>
      <c r="K135" s="4" t="s">
        <v>198</v>
      </c>
      <c r="L135" s="4" t="s">
        <v>95</v>
      </c>
      <c r="M135" s="4" t="s">
        <v>71</v>
      </c>
      <c r="N135" s="4" t="s">
        <v>50</v>
      </c>
      <c r="O135" s="4" t="s">
        <v>828</v>
      </c>
      <c r="P135" s="4" t="s">
        <v>821</v>
      </c>
      <c r="Q135" s="4" t="s">
        <v>51</v>
      </c>
      <c r="R135" s="4" t="s">
        <v>829</v>
      </c>
      <c r="S135" s="16" t="n">
        <f aca="false">IF(ISNUMBER(SEARCH("E0",$H135)),1,0)</f>
        <v>0</v>
      </c>
      <c r="T135" s="16" t="n">
        <f aca="false">IF(ISNUMBER(SEARCH("E1",$H135)),1,0)</f>
        <v>0</v>
      </c>
      <c r="U135" s="16" t="n">
        <f aca="false">IF(ISNUMBER(SEARCH("E2",$H135)),1,0)</f>
        <v>0</v>
      </c>
      <c r="V135" s="16" t="n">
        <f aca="false">IF(ISNUMBER(SEARCH("E3",$H135)),1,0)</f>
        <v>0</v>
      </c>
      <c r="W135" s="16" t="n">
        <f aca="false">IF(ISNUMBER(SEARCH("E4",$H135)),1,0)</f>
        <v>0</v>
      </c>
      <c r="X135" s="16" t="n">
        <f aca="false">IF(ISNUMBER(SEARCH("E5",$H135)),1,0)</f>
        <v>0</v>
      </c>
      <c r="Y135" s="16" t="n">
        <f aca="false">IF(ISNUMBER(SEARCH("E6",$H135)),1,0)</f>
        <v>0</v>
      </c>
      <c r="Z135" s="16" t="n">
        <f aca="false">IF(ISNUMBER(SEARCH("E7",$H135)),1,0)</f>
        <v>0</v>
      </c>
      <c r="AA135" s="16" t="n">
        <f aca="false">IF(ISNUMBER(SEARCH("E8",$H135)),1,0)</f>
        <v>0</v>
      </c>
      <c r="AB135" s="16" t="n">
        <f aca="false">IF(ISNUMBER(SEARCH("E9",$H135)),1,0)</f>
        <v>0</v>
      </c>
      <c r="AC135" s="16" t="n">
        <f aca="false">IF(ISNUMBER(SEARCH("TR",$H135)),1,0)</f>
        <v>1</v>
      </c>
      <c r="AD135" s="10" t="s">
        <v>161</v>
      </c>
      <c r="AE135" s="17" t="n">
        <f aca="false">IF(ISNUMBER(SEARCH("S0",$AD135)),1,0)</f>
        <v>0</v>
      </c>
      <c r="AF135" s="17" t="n">
        <f aca="false">IF(ISNUMBER(SEARCH("R01",$AD135)),1,0)</f>
        <v>0</v>
      </c>
      <c r="AG135" s="17" t="n">
        <f aca="false">IF(ISNUMBER(SEARCH("R02R03",$AD135)),1,0)</f>
        <v>0</v>
      </c>
      <c r="AH135" s="17" t="n">
        <f aca="false">IF(ISNUMBER(SEARCH("R04",$AD135)),1,0)</f>
        <v>0</v>
      </c>
      <c r="AI135" s="17" t="n">
        <f aca="false">IF(ISNUMBER(SEARCH("R05",$AD135)),1,0)</f>
        <v>0</v>
      </c>
      <c r="AJ135" s="17" t="n">
        <f aca="false">IF(ISNUMBER(SEARCH("S3R06",$AD135)),1,0)</f>
        <v>0</v>
      </c>
      <c r="AK135" s="17" t="n">
        <f aca="false">IF(ISNUMBER(SEARCH("R07",$AD135)),1,0)</f>
        <v>0</v>
      </c>
      <c r="AL135" s="17" t="n">
        <f aca="false">IF(ISNUMBER(SEARCH("R09",$AD135)),1,0)</f>
        <v>0</v>
      </c>
      <c r="AM135" s="17" t="n">
        <f aca="false">IF(ISNUMBER(SEARCH("R10",$AD135)),1,0)</f>
        <v>0</v>
      </c>
      <c r="AN135" s="17" t="n">
        <f aca="false">IF(ISNUMBER(SEARCH("S5",$AD135)),1,0)</f>
        <v>0</v>
      </c>
      <c r="AO135" s="17" t="n">
        <f aca="false">IF(ISNUMBER(SEARCH("S6",$AD135)),1,0)</f>
        <v>0</v>
      </c>
      <c r="AP135" s="17" t="n">
        <f aca="false">IF(ISNUMBER(SEARCH("TR",$AD135)),1,0)</f>
        <v>1</v>
      </c>
    </row>
    <row r="136" customFormat="false" ht="147" hidden="false" customHeight="true" outlineLevel="0" collapsed="false">
      <c r="A136" s="4" t="s">
        <v>830</v>
      </c>
      <c r="B136" s="4" t="s">
        <v>816</v>
      </c>
      <c r="C136" s="4" t="s">
        <v>817</v>
      </c>
      <c r="D136" s="4" t="s">
        <v>831</v>
      </c>
      <c r="E136" s="4" t="s">
        <v>44</v>
      </c>
      <c r="F136" s="4" t="s">
        <v>819</v>
      </c>
      <c r="G136" s="4" t="s">
        <v>98</v>
      </c>
      <c r="H136" s="4" t="s">
        <v>643</v>
      </c>
      <c r="I136" s="4" t="s">
        <v>106</v>
      </c>
      <c r="J136" s="4" t="s">
        <v>94</v>
      </c>
      <c r="K136" s="4" t="s">
        <v>198</v>
      </c>
      <c r="L136" s="4" t="s">
        <v>95</v>
      </c>
      <c r="M136" s="4" t="s">
        <v>71</v>
      </c>
      <c r="N136" s="4" t="s">
        <v>50</v>
      </c>
      <c r="O136" s="4" t="s">
        <v>832</v>
      </c>
      <c r="P136" s="4" t="s">
        <v>821</v>
      </c>
      <c r="Q136" s="4" t="s">
        <v>51</v>
      </c>
      <c r="R136" s="4" t="s">
        <v>833</v>
      </c>
      <c r="S136" s="16" t="n">
        <f aca="false">IF(ISNUMBER(SEARCH("E0",$H136)),1,0)</f>
        <v>0</v>
      </c>
      <c r="T136" s="16" t="n">
        <f aca="false">IF(ISNUMBER(SEARCH("E1",$H136)),1,0)</f>
        <v>0</v>
      </c>
      <c r="U136" s="16" t="n">
        <f aca="false">IF(ISNUMBER(SEARCH("E2",$H136)),1,0)</f>
        <v>0</v>
      </c>
      <c r="V136" s="16" t="n">
        <f aca="false">IF(ISNUMBER(SEARCH("E3",$H136)),1,0)</f>
        <v>0</v>
      </c>
      <c r="W136" s="16" t="n">
        <f aca="false">IF(ISNUMBER(SEARCH("E4",$H136)),1,0)</f>
        <v>0</v>
      </c>
      <c r="X136" s="16" t="n">
        <f aca="false">IF(ISNUMBER(SEARCH("E5",$H136)),1,0)</f>
        <v>1</v>
      </c>
      <c r="Y136" s="16" t="n">
        <f aca="false">IF(ISNUMBER(SEARCH("E6",$H136)),1,0)</f>
        <v>0</v>
      </c>
      <c r="Z136" s="16" t="n">
        <f aca="false">IF(ISNUMBER(SEARCH("E7",$H136)),1,0)</f>
        <v>0</v>
      </c>
      <c r="AA136" s="16" t="n">
        <f aca="false">IF(ISNUMBER(SEARCH("E8",$H136)),1,0)</f>
        <v>1</v>
      </c>
      <c r="AB136" s="16" t="n">
        <f aca="false">IF(ISNUMBER(SEARCH("E9",$H136)),1,0)</f>
        <v>0</v>
      </c>
      <c r="AC136" s="16" t="n">
        <f aca="false">IF(ISNUMBER(SEARCH("TR",$H136)),1,0)</f>
        <v>0</v>
      </c>
      <c r="AD136" s="10" t="s">
        <v>646</v>
      </c>
      <c r="AE136" s="17" t="n">
        <f aca="false">IF(ISNUMBER(SEARCH("S0",$AD136)),1,0)</f>
        <v>0</v>
      </c>
      <c r="AF136" s="17" t="n">
        <f aca="false">IF(ISNUMBER(SEARCH("R01",$AD136)),1,0)</f>
        <v>0</v>
      </c>
      <c r="AG136" s="17" t="n">
        <f aca="false">IF(ISNUMBER(SEARCH("R02R03",$AD136)),1,0)</f>
        <v>0</v>
      </c>
      <c r="AH136" s="17" t="n">
        <f aca="false">IF(ISNUMBER(SEARCH("R04",$AD136)),1,0)</f>
        <v>0</v>
      </c>
      <c r="AI136" s="17" t="n">
        <f aca="false">IF(ISNUMBER(SEARCH("R05",$AD136)),1,0)</f>
        <v>0</v>
      </c>
      <c r="AJ136" s="17" t="n">
        <f aca="false">IF(ISNUMBER(SEARCH("S3R06",$AD136)),1,0)</f>
        <v>1</v>
      </c>
      <c r="AK136" s="17" t="n">
        <f aca="false">IF(ISNUMBER(SEARCH("R07",$AD136)),1,0)</f>
        <v>0</v>
      </c>
      <c r="AL136" s="17" t="n">
        <f aca="false">IF(ISNUMBER(SEARCH("R09",$AD136)),1,0)</f>
        <v>0</v>
      </c>
      <c r="AM136" s="17" t="n">
        <f aca="false">IF(ISNUMBER(SEARCH("R10",$AD136)),1,0)</f>
        <v>0</v>
      </c>
      <c r="AN136" s="17" t="n">
        <f aca="false">IF(ISNUMBER(SEARCH("S5",$AD136)),1,0)</f>
        <v>1</v>
      </c>
      <c r="AO136" s="17" t="n">
        <f aca="false">IF(ISNUMBER(SEARCH("S6",$AD136)),1,0)</f>
        <v>0</v>
      </c>
      <c r="AP136" s="17" t="n">
        <f aca="false">IF(ISNUMBER(SEARCH("TR",$AD136)),1,0)</f>
        <v>0</v>
      </c>
    </row>
    <row r="137" customFormat="false" ht="157.5" hidden="false" customHeight="true" outlineLevel="0" collapsed="false">
      <c r="A137" s="4" t="s">
        <v>834</v>
      </c>
      <c r="B137" s="4" t="s">
        <v>816</v>
      </c>
      <c r="C137" s="4" t="s">
        <v>817</v>
      </c>
      <c r="D137" s="4" t="s">
        <v>835</v>
      </c>
      <c r="E137" s="4" t="s">
        <v>44</v>
      </c>
      <c r="F137" s="4" t="s">
        <v>819</v>
      </c>
      <c r="G137" s="4" t="s">
        <v>56</v>
      </c>
      <c r="H137" s="4" t="s">
        <v>161</v>
      </c>
      <c r="I137" s="4" t="s">
        <v>85</v>
      </c>
      <c r="J137" s="4" t="s">
        <v>94</v>
      </c>
      <c r="K137" s="4" t="s">
        <v>836</v>
      </c>
      <c r="L137" s="4" t="s">
        <v>101</v>
      </c>
      <c r="M137" s="4" t="s">
        <v>71</v>
      </c>
      <c r="N137" s="4" t="s">
        <v>50</v>
      </c>
      <c r="O137" s="4" t="s">
        <v>837</v>
      </c>
      <c r="P137" s="4" t="s">
        <v>821</v>
      </c>
      <c r="Q137" s="4" t="s">
        <v>51</v>
      </c>
      <c r="R137" s="4" t="s">
        <v>838</v>
      </c>
      <c r="S137" s="16" t="n">
        <f aca="false">IF(ISNUMBER(SEARCH("E0",$H137)),1,0)</f>
        <v>0</v>
      </c>
      <c r="T137" s="16" t="n">
        <f aca="false">IF(ISNUMBER(SEARCH("E1",$H137)),1,0)</f>
        <v>0</v>
      </c>
      <c r="U137" s="16" t="n">
        <f aca="false">IF(ISNUMBER(SEARCH("E2",$H137)),1,0)</f>
        <v>0</v>
      </c>
      <c r="V137" s="16" t="n">
        <f aca="false">IF(ISNUMBER(SEARCH("E3",$H137)),1,0)</f>
        <v>0</v>
      </c>
      <c r="W137" s="16" t="n">
        <f aca="false">IF(ISNUMBER(SEARCH("E4",$H137)),1,0)</f>
        <v>0</v>
      </c>
      <c r="X137" s="16" t="n">
        <f aca="false">IF(ISNUMBER(SEARCH("E5",$H137)),1,0)</f>
        <v>0</v>
      </c>
      <c r="Y137" s="16" t="n">
        <f aca="false">IF(ISNUMBER(SEARCH("E6",$H137)),1,0)</f>
        <v>0</v>
      </c>
      <c r="Z137" s="16" t="n">
        <f aca="false">IF(ISNUMBER(SEARCH("E7",$H137)),1,0)</f>
        <v>0</v>
      </c>
      <c r="AA137" s="16" t="n">
        <f aca="false">IF(ISNUMBER(SEARCH("E8",$H137)),1,0)</f>
        <v>0</v>
      </c>
      <c r="AB137" s="16" t="n">
        <f aca="false">IF(ISNUMBER(SEARCH("E9",$H137)),1,0)</f>
        <v>0</v>
      </c>
      <c r="AC137" s="16" t="n">
        <f aca="false">IF(ISNUMBER(SEARCH("TR",$H137)),1,0)</f>
        <v>1</v>
      </c>
      <c r="AD137" s="10" t="s">
        <v>161</v>
      </c>
      <c r="AE137" s="17" t="n">
        <f aca="false">IF(ISNUMBER(SEARCH("S0",$AD137)),1,0)</f>
        <v>0</v>
      </c>
      <c r="AF137" s="17" t="n">
        <f aca="false">IF(ISNUMBER(SEARCH("R01",$AD137)),1,0)</f>
        <v>0</v>
      </c>
      <c r="AG137" s="17" t="n">
        <f aca="false">IF(ISNUMBER(SEARCH("R02R03",$AD137)),1,0)</f>
        <v>0</v>
      </c>
      <c r="AH137" s="17" t="n">
        <f aca="false">IF(ISNUMBER(SEARCH("R04",$AD137)),1,0)</f>
        <v>0</v>
      </c>
      <c r="AI137" s="17" t="n">
        <f aca="false">IF(ISNUMBER(SEARCH("R05",$AD137)),1,0)</f>
        <v>0</v>
      </c>
      <c r="AJ137" s="17" t="n">
        <f aca="false">IF(ISNUMBER(SEARCH("S3R06",$AD137)),1,0)</f>
        <v>0</v>
      </c>
      <c r="AK137" s="17" t="n">
        <f aca="false">IF(ISNUMBER(SEARCH("R07",$AD137)),1,0)</f>
        <v>0</v>
      </c>
      <c r="AL137" s="17" t="n">
        <f aca="false">IF(ISNUMBER(SEARCH("R09",$AD137)),1,0)</f>
        <v>0</v>
      </c>
      <c r="AM137" s="17" t="n">
        <f aca="false">IF(ISNUMBER(SEARCH("R10",$AD137)),1,0)</f>
        <v>0</v>
      </c>
      <c r="AN137" s="17" t="n">
        <f aca="false">IF(ISNUMBER(SEARCH("S5",$AD137)),1,0)</f>
        <v>0</v>
      </c>
      <c r="AO137" s="17" t="n">
        <f aca="false">IF(ISNUMBER(SEARCH("S6",$AD137)),1,0)</f>
        <v>0</v>
      </c>
      <c r="AP137" s="17" t="n">
        <f aca="false">IF(ISNUMBER(SEARCH("TR",$AD137)),1,0)</f>
        <v>1</v>
      </c>
    </row>
    <row r="138" customFormat="false" ht="147" hidden="false" customHeight="true" outlineLevel="0" collapsed="false">
      <c r="A138" s="4" t="s">
        <v>839</v>
      </c>
      <c r="B138" s="4" t="s">
        <v>816</v>
      </c>
      <c r="C138" s="4" t="s">
        <v>817</v>
      </c>
      <c r="D138" s="4" t="s">
        <v>840</v>
      </c>
      <c r="E138" s="4" t="s">
        <v>44</v>
      </c>
      <c r="F138" s="4" t="s">
        <v>819</v>
      </c>
      <c r="G138" s="4" t="s">
        <v>56</v>
      </c>
      <c r="H138" s="4" t="s">
        <v>161</v>
      </c>
      <c r="I138" s="4" t="s">
        <v>85</v>
      </c>
      <c r="J138" s="4" t="s">
        <v>94</v>
      </c>
      <c r="K138" s="4" t="s">
        <v>841</v>
      </c>
      <c r="L138" s="4" t="s">
        <v>101</v>
      </c>
      <c r="M138" s="4" t="s">
        <v>71</v>
      </c>
      <c r="N138" s="4" t="s">
        <v>50</v>
      </c>
      <c r="O138" s="4" t="s">
        <v>842</v>
      </c>
      <c r="P138" s="4" t="s">
        <v>821</v>
      </c>
      <c r="Q138" s="4" t="s">
        <v>51</v>
      </c>
      <c r="R138" s="4" t="s">
        <v>843</v>
      </c>
      <c r="S138" s="16" t="n">
        <f aca="false">IF(ISNUMBER(SEARCH("E0",$H138)),1,0)</f>
        <v>0</v>
      </c>
      <c r="T138" s="16" t="n">
        <f aca="false">IF(ISNUMBER(SEARCH("E1",$H138)),1,0)</f>
        <v>0</v>
      </c>
      <c r="U138" s="16" t="n">
        <f aca="false">IF(ISNUMBER(SEARCH("E2",$H138)),1,0)</f>
        <v>0</v>
      </c>
      <c r="V138" s="16" t="n">
        <f aca="false">IF(ISNUMBER(SEARCH("E3",$H138)),1,0)</f>
        <v>0</v>
      </c>
      <c r="W138" s="16" t="n">
        <f aca="false">IF(ISNUMBER(SEARCH("E4",$H138)),1,0)</f>
        <v>0</v>
      </c>
      <c r="X138" s="16" t="n">
        <f aca="false">IF(ISNUMBER(SEARCH("E5",$H138)),1,0)</f>
        <v>0</v>
      </c>
      <c r="Y138" s="16" t="n">
        <f aca="false">IF(ISNUMBER(SEARCH("E6",$H138)),1,0)</f>
        <v>0</v>
      </c>
      <c r="Z138" s="16" t="n">
        <f aca="false">IF(ISNUMBER(SEARCH("E7",$H138)),1,0)</f>
        <v>0</v>
      </c>
      <c r="AA138" s="16" t="n">
        <f aca="false">IF(ISNUMBER(SEARCH("E8",$H138)),1,0)</f>
        <v>0</v>
      </c>
      <c r="AB138" s="16" t="n">
        <f aca="false">IF(ISNUMBER(SEARCH("E9",$H138)),1,0)</f>
        <v>0</v>
      </c>
      <c r="AC138" s="16" t="n">
        <f aca="false">IF(ISNUMBER(SEARCH("TR",$H138)),1,0)</f>
        <v>1</v>
      </c>
      <c r="AD138" s="10" t="s">
        <v>161</v>
      </c>
      <c r="AE138" s="17" t="n">
        <f aca="false">IF(ISNUMBER(SEARCH("S0",$AD138)),1,0)</f>
        <v>0</v>
      </c>
      <c r="AF138" s="17" t="n">
        <f aca="false">IF(ISNUMBER(SEARCH("R01",$AD138)),1,0)</f>
        <v>0</v>
      </c>
      <c r="AG138" s="17" t="n">
        <f aca="false">IF(ISNUMBER(SEARCH("R02R03",$AD138)),1,0)</f>
        <v>0</v>
      </c>
      <c r="AH138" s="17" t="n">
        <f aca="false">IF(ISNUMBER(SEARCH("R04",$AD138)),1,0)</f>
        <v>0</v>
      </c>
      <c r="AI138" s="17" t="n">
        <f aca="false">IF(ISNUMBER(SEARCH("R05",$AD138)),1,0)</f>
        <v>0</v>
      </c>
      <c r="AJ138" s="17" t="n">
        <f aca="false">IF(ISNUMBER(SEARCH("S3R06",$AD138)),1,0)</f>
        <v>0</v>
      </c>
      <c r="AK138" s="17" t="n">
        <f aca="false">IF(ISNUMBER(SEARCH("R07",$AD138)),1,0)</f>
        <v>0</v>
      </c>
      <c r="AL138" s="17" t="n">
        <f aca="false">IF(ISNUMBER(SEARCH("R09",$AD138)),1,0)</f>
        <v>0</v>
      </c>
      <c r="AM138" s="17" t="n">
        <f aca="false">IF(ISNUMBER(SEARCH("R10",$AD138)),1,0)</f>
        <v>0</v>
      </c>
      <c r="AN138" s="17" t="n">
        <f aca="false">IF(ISNUMBER(SEARCH("S5",$AD138)),1,0)</f>
        <v>0</v>
      </c>
      <c r="AO138" s="17" t="n">
        <f aca="false">IF(ISNUMBER(SEARCH("S6",$AD138)),1,0)</f>
        <v>0</v>
      </c>
      <c r="AP138" s="17" t="n">
        <f aca="false">IF(ISNUMBER(SEARCH("TR",$AD138)),1,0)</f>
        <v>1</v>
      </c>
    </row>
    <row r="139" customFormat="false" ht="157.5" hidden="false" customHeight="true" outlineLevel="0" collapsed="false">
      <c r="A139" s="4" t="s">
        <v>844</v>
      </c>
      <c r="B139" s="4" t="s">
        <v>816</v>
      </c>
      <c r="C139" s="4" t="s">
        <v>817</v>
      </c>
      <c r="D139" s="4" t="s">
        <v>845</v>
      </c>
      <c r="E139" s="4" t="s">
        <v>44</v>
      </c>
      <c r="F139" s="4" t="s">
        <v>819</v>
      </c>
      <c r="G139" s="4" t="s">
        <v>98</v>
      </c>
      <c r="H139" s="4" t="s">
        <v>161</v>
      </c>
      <c r="I139" s="4" t="s">
        <v>106</v>
      </c>
      <c r="J139" s="4" t="s">
        <v>94</v>
      </c>
      <c r="K139" s="4" t="s">
        <v>198</v>
      </c>
      <c r="L139" s="4" t="s">
        <v>95</v>
      </c>
      <c r="M139" s="4" t="s">
        <v>71</v>
      </c>
      <c r="N139" s="4" t="s">
        <v>50</v>
      </c>
      <c r="O139" s="4" t="s">
        <v>846</v>
      </c>
      <c r="P139" s="4" t="s">
        <v>821</v>
      </c>
      <c r="Q139" s="4" t="s">
        <v>51</v>
      </c>
      <c r="R139" s="4" t="s">
        <v>847</v>
      </c>
      <c r="S139" s="16" t="n">
        <f aca="false">IF(ISNUMBER(SEARCH("E0",$H139)),1,0)</f>
        <v>0</v>
      </c>
      <c r="T139" s="16" t="n">
        <f aca="false">IF(ISNUMBER(SEARCH("E1",$H139)),1,0)</f>
        <v>0</v>
      </c>
      <c r="U139" s="16" t="n">
        <f aca="false">IF(ISNUMBER(SEARCH("E2",$H139)),1,0)</f>
        <v>0</v>
      </c>
      <c r="V139" s="16" t="n">
        <f aca="false">IF(ISNUMBER(SEARCH("E3",$H139)),1,0)</f>
        <v>0</v>
      </c>
      <c r="W139" s="16" t="n">
        <f aca="false">IF(ISNUMBER(SEARCH("E4",$H139)),1,0)</f>
        <v>0</v>
      </c>
      <c r="X139" s="16" t="n">
        <f aca="false">IF(ISNUMBER(SEARCH("E5",$H139)),1,0)</f>
        <v>0</v>
      </c>
      <c r="Y139" s="16" t="n">
        <f aca="false">IF(ISNUMBER(SEARCH("E6",$H139)),1,0)</f>
        <v>0</v>
      </c>
      <c r="Z139" s="16" t="n">
        <f aca="false">IF(ISNUMBER(SEARCH("E7",$H139)),1,0)</f>
        <v>0</v>
      </c>
      <c r="AA139" s="16" t="n">
        <f aca="false">IF(ISNUMBER(SEARCH("E8",$H139)),1,0)</f>
        <v>0</v>
      </c>
      <c r="AB139" s="16" t="n">
        <f aca="false">IF(ISNUMBER(SEARCH("E9",$H139)),1,0)</f>
        <v>0</v>
      </c>
      <c r="AC139" s="16" t="n">
        <f aca="false">IF(ISNUMBER(SEARCH("TR",$H139)),1,0)</f>
        <v>1</v>
      </c>
      <c r="AD139" s="10" t="s">
        <v>161</v>
      </c>
      <c r="AE139" s="17" t="n">
        <f aca="false">IF(ISNUMBER(SEARCH("S0",$AD139)),1,0)</f>
        <v>0</v>
      </c>
      <c r="AF139" s="17" t="n">
        <f aca="false">IF(ISNUMBER(SEARCH("R01",$AD139)),1,0)</f>
        <v>0</v>
      </c>
      <c r="AG139" s="17" t="n">
        <f aca="false">IF(ISNUMBER(SEARCH("R02R03",$AD139)),1,0)</f>
        <v>0</v>
      </c>
      <c r="AH139" s="17" t="n">
        <f aca="false">IF(ISNUMBER(SEARCH("R04",$AD139)),1,0)</f>
        <v>0</v>
      </c>
      <c r="AI139" s="17" t="n">
        <f aca="false">IF(ISNUMBER(SEARCH("R05",$AD139)),1,0)</f>
        <v>0</v>
      </c>
      <c r="AJ139" s="17" t="n">
        <f aca="false">IF(ISNUMBER(SEARCH("S3R06",$AD139)),1,0)</f>
        <v>0</v>
      </c>
      <c r="AK139" s="17" t="n">
        <f aca="false">IF(ISNUMBER(SEARCH("R07",$AD139)),1,0)</f>
        <v>0</v>
      </c>
      <c r="AL139" s="17" t="n">
        <f aca="false">IF(ISNUMBER(SEARCH("R09",$AD139)),1,0)</f>
        <v>0</v>
      </c>
      <c r="AM139" s="17" t="n">
        <f aca="false">IF(ISNUMBER(SEARCH("R10",$AD139)),1,0)</f>
        <v>0</v>
      </c>
      <c r="AN139" s="17" t="n">
        <f aca="false">IF(ISNUMBER(SEARCH("S5",$AD139)),1,0)</f>
        <v>0</v>
      </c>
      <c r="AO139" s="17" t="n">
        <f aca="false">IF(ISNUMBER(SEARCH("S6",$AD139)),1,0)</f>
        <v>0</v>
      </c>
      <c r="AP139" s="17" t="n">
        <f aca="false">IF(ISNUMBER(SEARCH("TR",$AD139)),1,0)</f>
        <v>1</v>
      </c>
    </row>
    <row r="140" customFormat="false" ht="180" hidden="false" customHeight="true" outlineLevel="0" collapsed="false">
      <c r="A140" s="4" t="s">
        <v>848</v>
      </c>
      <c r="B140" s="4" t="s">
        <v>816</v>
      </c>
      <c r="C140" s="4" t="s">
        <v>817</v>
      </c>
      <c r="D140" s="4" t="s">
        <v>849</v>
      </c>
      <c r="E140" s="4" t="s">
        <v>44</v>
      </c>
      <c r="F140" s="4" t="s">
        <v>819</v>
      </c>
      <c r="G140" s="4" t="s">
        <v>98</v>
      </c>
      <c r="H140" s="4" t="s">
        <v>161</v>
      </c>
      <c r="I140" s="4" t="s">
        <v>85</v>
      </c>
      <c r="J140" s="4" t="s">
        <v>94</v>
      </c>
      <c r="K140" s="4" t="s">
        <v>198</v>
      </c>
      <c r="L140" s="4" t="s">
        <v>101</v>
      </c>
      <c r="M140" s="4" t="s">
        <v>71</v>
      </c>
      <c r="N140" s="4" t="s">
        <v>50</v>
      </c>
      <c r="O140" s="4" t="s">
        <v>850</v>
      </c>
      <c r="P140" s="4" t="s">
        <v>821</v>
      </c>
      <c r="Q140" s="4" t="s">
        <v>51</v>
      </c>
      <c r="R140" s="4" t="s">
        <v>851</v>
      </c>
      <c r="S140" s="16" t="n">
        <f aca="false">IF(ISNUMBER(SEARCH("E0",$H140)),1,0)</f>
        <v>0</v>
      </c>
      <c r="T140" s="16" t="n">
        <f aca="false">IF(ISNUMBER(SEARCH("E1",$H140)),1,0)</f>
        <v>0</v>
      </c>
      <c r="U140" s="16" t="n">
        <f aca="false">IF(ISNUMBER(SEARCH("E2",$H140)),1,0)</f>
        <v>0</v>
      </c>
      <c r="V140" s="16" t="n">
        <f aca="false">IF(ISNUMBER(SEARCH("E3",$H140)),1,0)</f>
        <v>0</v>
      </c>
      <c r="W140" s="16" t="n">
        <f aca="false">IF(ISNUMBER(SEARCH("E4",$H140)),1,0)</f>
        <v>0</v>
      </c>
      <c r="X140" s="16" t="n">
        <f aca="false">IF(ISNUMBER(SEARCH("E5",$H140)),1,0)</f>
        <v>0</v>
      </c>
      <c r="Y140" s="16" t="n">
        <f aca="false">IF(ISNUMBER(SEARCH("E6",$H140)),1,0)</f>
        <v>0</v>
      </c>
      <c r="Z140" s="16" t="n">
        <f aca="false">IF(ISNUMBER(SEARCH("E7",$H140)),1,0)</f>
        <v>0</v>
      </c>
      <c r="AA140" s="16" t="n">
        <f aca="false">IF(ISNUMBER(SEARCH("E8",$H140)),1,0)</f>
        <v>0</v>
      </c>
      <c r="AB140" s="16" t="n">
        <f aca="false">IF(ISNUMBER(SEARCH("E9",$H140)),1,0)</f>
        <v>0</v>
      </c>
      <c r="AC140" s="16" t="n">
        <f aca="false">IF(ISNUMBER(SEARCH("TR",$H140)),1,0)</f>
        <v>1</v>
      </c>
      <c r="AD140" s="10" t="s">
        <v>161</v>
      </c>
      <c r="AE140" s="17" t="n">
        <f aca="false">IF(ISNUMBER(SEARCH("S0",$AD140)),1,0)</f>
        <v>0</v>
      </c>
      <c r="AF140" s="17" t="n">
        <f aca="false">IF(ISNUMBER(SEARCH("R01",$AD140)),1,0)</f>
        <v>0</v>
      </c>
      <c r="AG140" s="17" t="n">
        <f aca="false">IF(ISNUMBER(SEARCH("R02R03",$AD140)),1,0)</f>
        <v>0</v>
      </c>
      <c r="AH140" s="17" t="n">
        <f aca="false">IF(ISNUMBER(SEARCH("R04",$AD140)),1,0)</f>
        <v>0</v>
      </c>
      <c r="AI140" s="17" t="n">
        <f aca="false">IF(ISNUMBER(SEARCH("R05",$AD140)),1,0)</f>
        <v>0</v>
      </c>
      <c r="AJ140" s="17" t="n">
        <f aca="false">IF(ISNUMBER(SEARCH("S3R06",$AD140)),1,0)</f>
        <v>0</v>
      </c>
      <c r="AK140" s="17" t="n">
        <f aca="false">IF(ISNUMBER(SEARCH("R07",$AD140)),1,0)</f>
        <v>0</v>
      </c>
      <c r="AL140" s="17" t="n">
        <f aca="false">IF(ISNUMBER(SEARCH("R09",$AD140)),1,0)</f>
        <v>0</v>
      </c>
      <c r="AM140" s="17" t="n">
        <f aca="false">IF(ISNUMBER(SEARCH("R10",$AD140)),1,0)</f>
        <v>0</v>
      </c>
      <c r="AN140" s="17" t="n">
        <f aca="false">IF(ISNUMBER(SEARCH("S5",$AD140)),1,0)</f>
        <v>0</v>
      </c>
      <c r="AO140" s="17" t="n">
        <f aca="false">IF(ISNUMBER(SEARCH("S6",$AD140)),1,0)</f>
        <v>0</v>
      </c>
      <c r="AP140" s="17" t="n">
        <f aca="false">IF(ISNUMBER(SEARCH("TR",$AD140)),1,0)</f>
        <v>1</v>
      </c>
    </row>
    <row r="141" customFormat="false" ht="157.5" hidden="false" customHeight="true" outlineLevel="0" collapsed="false">
      <c r="A141" s="4" t="s">
        <v>852</v>
      </c>
      <c r="B141" s="4" t="s">
        <v>816</v>
      </c>
      <c r="C141" s="4" t="s">
        <v>817</v>
      </c>
      <c r="D141" s="4" t="s">
        <v>853</v>
      </c>
      <c r="E141" s="4" t="s">
        <v>44</v>
      </c>
      <c r="F141" s="4" t="s">
        <v>819</v>
      </c>
      <c r="G141" s="4" t="s">
        <v>56</v>
      </c>
      <c r="H141" s="4" t="s">
        <v>161</v>
      </c>
      <c r="I141" s="4" t="s">
        <v>85</v>
      </c>
      <c r="J141" s="4" t="s">
        <v>94</v>
      </c>
      <c r="K141" s="4" t="s">
        <v>836</v>
      </c>
      <c r="L141" s="4" t="s">
        <v>101</v>
      </c>
      <c r="M141" s="4" t="s">
        <v>71</v>
      </c>
      <c r="N141" s="4" t="s">
        <v>50</v>
      </c>
      <c r="O141" s="4" t="s">
        <v>854</v>
      </c>
      <c r="P141" s="4" t="s">
        <v>821</v>
      </c>
      <c r="Q141" s="4" t="s">
        <v>51</v>
      </c>
      <c r="R141" s="4" t="s">
        <v>855</v>
      </c>
      <c r="S141" s="16" t="n">
        <f aca="false">IF(ISNUMBER(SEARCH("E0",$H141)),1,0)</f>
        <v>0</v>
      </c>
      <c r="T141" s="16" t="n">
        <f aca="false">IF(ISNUMBER(SEARCH("E1",$H141)),1,0)</f>
        <v>0</v>
      </c>
      <c r="U141" s="16" t="n">
        <f aca="false">IF(ISNUMBER(SEARCH("E2",$H141)),1,0)</f>
        <v>0</v>
      </c>
      <c r="V141" s="16" t="n">
        <f aca="false">IF(ISNUMBER(SEARCH("E3",$H141)),1,0)</f>
        <v>0</v>
      </c>
      <c r="W141" s="16" t="n">
        <f aca="false">IF(ISNUMBER(SEARCH("E4",$H141)),1,0)</f>
        <v>0</v>
      </c>
      <c r="X141" s="16" t="n">
        <f aca="false">IF(ISNUMBER(SEARCH("E5",$H141)),1,0)</f>
        <v>0</v>
      </c>
      <c r="Y141" s="16" t="n">
        <f aca="false">IF(ISNUMBER(SEARCH("E6",$H141)),1,0)</f>
        <v>0</v>
      </c>
      <c r="Z141" s="16" t="n">
        <f aca="false">IF(ISNUMBER(SEARCH("E7",$H141)),1,0)</f>
        <v>0</v>
      </c>
      <c r="AA141" s="16" t="n">
        <f aca="false">IF(ISNUMBER(SEARCH("E8",$H141)),1,0)</f>
        <v>0</v>
      </c>
      <c r="AB141" s="16" t="n">
        <f aca="false">IF(ISNUMBER(SEARCH("E9",$H141)),1,0)</f>
        <v>0</v>
      </c>
      <c r="AC141" s="16" t="n">
        <f aca="false">IF(ISNUMBER(SEARCH("TR",$H141)),1,0)</f>
        <v>1</v>
      </c>
      <c r="AD141" s="10" t="s">
        <v>161</v>
      </c>
      <c r="AE141" s="17" t="n">
        <f aca="false">IF(ISNUMBER(SEARCH("S0",$AD141)),1,0)</f>
        <v>0</v>
      </c>
      <c r="AF141" s="17" t="n">
        <f aca="false">IF(ISNUMBER(SEARCH("R01",$AD141)),1,0)</f>
        <v>0</v>
      </c>
      <c r="AG141" s="17" t="n">
        <f aca="false">IF(ISNUMBER(SEARCH("R02R03",$AD141)),1,0)</f>
        <v>0</v>
      </c>
      <c r="AH141" s="17" t="n">
        <f aca="false">IF(ISNUMBER(SEARCH("R04",$AD141)),1,0)</f>
        <v>0</v>
      </c>
      <c r="AI141" s="17" t="n">
        <f aca="false">IF(ISNUMBER(SEARCH("R05",$AD141)),1,0)</f>
        <v>0</v>
      </c>
      <c r="AJ141" s="17" t="n">
        <f aca="false">IF(ISNUMBER(SEARCH("S3R06",$AD141)),1,0)</f>
        <v>0</v>
      </c>
      <c r="AK141" s="17" t="n">
        <f aca="false">IF(ISNUMBER(SEARCH("R07",$AD141)),1,0)</f>
        <v>0</v>
      </c>
      <c r="AL141" s="17" t="n">
        <f aca="false">IF(ISNUMBER(SEARCH("R09",$AD141)),1,0)</f>
        <v>0</v>
      </c>
      <c r="AM141" s="17" t="n">
        <f aca="false">IF(ISNUMBER(SEARCH("R10",$AD141)),1,0)</f>
        <v>0</v>
      </c>
      <c r="AN141" s="17" t="n">
        <f aca="false">IF(ISNUMBER(SEARCH("S5",$AD141)),1,0)</f>
        <v>0</v>
      </c>
      <c r="AO141" s="17" t="n">
        <f aca="false">IF(ISNUMBER(SEARCH("S6",$AD141)),1,0)</f>
        <v>0</v>
      </c>
      <c r="AP141" s="17" t="n">
        <f aca="false">IF(ISNUMBER(SEARCH("TR",$AD141)),1,0)</f>
        <v>1</v>
      </c>
    </row>
    <row r="142" customFormat="false" ht="147" hidden="false" customHeight="true" outlineLevel="0" collapsed="false">
      <c r="A142" s="4" t="s">
        <v>856</v>
      </c>
      <c r="B142" s="4" t="s">
        <v>816</v>
      </c>
      <c r="C142" s="4" t="s">
        <v>817</v>
      </c>
      <c r="D142" s="4" t="s">
        <v>857</v>
      </c>
      <c r="E142" s="4" t="s">
        <v>44</v>
      </c>
      <c r="F142" s="4" t="s">
        <v>819</v>
      </c>
      <c r="G142" s="4" t="s">
        <v>56</v>
      </c>
      <c r="H142" s="4" t="s">
        <v>161</v>
      </c>
      <c r="I142" s="4" t="s">
        <v>85</v>
      </c>
      <c r="J142" s="4" t="s">
        <v>94</v>
      </c>
      <c r="K142" s="4" t="s">
        <v>841</v>
      </c>
      <c r="L142" s="4" t="s">
        <v>101</v>
      </c>
      <c r="M142" s="4" t="s">
        <v>71</v>
      </c>
      <c r="N142" s="4" t="s">
        <v>50</v>
      </c>
      <c r="O142" s="4" t="s">
        <v>858</v>
      </c>
      <c r="P142" s="4" t="s">
        <v>821</v>
      </c>
      <c r="Q142" s="4" t="s">
        <v>51</v>
      </c>
      <c r="R142" s="4" t="s">
        <v>859</v>
      </c>
      <c r="S142" s="16" t="n">
        <f aca="false">IF(ISNUMBER(SEARCH("E0",$H142)),1,0)</f>
        <v>0</v>
      </c>
      <c r="T142" s="16" t="n">
        <f aca="false">IF(ISNUMBER(SEARCH("E1",$H142)),1,0)</f>
        <v>0</v>
      </c>
      <c r="U142" s="16" t="n">
        <f aca="false">IF(ISNUMBER(SEARCH("E2",$H142)),1,0)</f>
        <v>0</v>
      </c>
      <c r="V142" s="16" t="n">
        <f aca="false">IF(ISNUMBER(SEARCH("E3",$H142)),1,0)</f>
        <v>0</v>
      </c>
      <c r="W142" s="16" t="n">
        <f aca="false">IF(ISNUMBER(SEARCH("E4",$H142)),1,0)</f>
        <v>0</v>
      </c>
      <c r="X142" s="16" t="n">
        <f aca="false">IF(ISNUMBER(SEARCH("E5",$H142)),1,0)</f>
        <v>0</v>
      </c>
      <c r="Y142" s="16" t="n">
        <f aca="false">IF(ISNUMBER(SEARCH("E6",$H142)),1,0)</f>
        <v>0</v>
      </c>
      <c r="Z142" s="16" t="n">
        <f aca="false">IF(ISNUMBER(SEARCH("E7",$H142)),1,0)</f>
        <v>0</v>
      </c>
      <c r="AA142" s="16" t="n">
        <f aca="false">IF(ISNUMBER(SEARCH("E8",$H142)),1,0)</f>
        <v>0</v>
      </c>
      <c r="AB142" s="16" t="n">
        <f aca="false">IF(ISNUMBER(SEARCH("E9",$H142)),1,0)</f>
        <v>0</v>
      </c>
      <c r="AC142" s="16" t="n">
        <f aca="false">IF(ISNUMBER(SEARCH("TR",$H142)),1,0)</f>
        <v>1</v>
      </c>
      <c r="AD142" s="10" t="s">
        <v>161</v>
      </c>
      <c r="AE142" s="17" t="n">
        <f aca="false">IF(ISNUMBER(SEARCH("S0",$AD142)),1,0)</f>
        <v>0</v>
      </c>
      <c r="AF142" s="17" t="n">
        <f aca="false">IF(ISNUMBER(SEARCH("R01",$AD142)),1,0)</f>
        <v>0</v>
      </c>
      <c r="AG142" s="17" t="n">
        <f aca="false">IF(ISNUMBER(SEARCH("R02R03",$AD142)),1,0)</f>
        <v>0</v>
      </c>
      <c r="AH142" s="17" t="n">
        <f aca="false">IF(ISNUMBER(SEARCH("R04",$AD142)),1,0)</f>
        <v>0</v>
      </c>
      <c r="AI142" s="17" t="n">
        <f aca="false">IF(ISNUMBER(SEARCH("R05",$AD142)),1,0)</f>
        <v>0</v>
      </c>
      <c r="AJ142" s="17" t="n">
        <f aca="false">IF(ISNUMBER(SEARCH("S3R06",$AD142)),1,0)</f>
        <v>0</v>
      </c>
      <c r="AK142" s="17" t="n">
        <f aca="false">IF(ISNUMBER(SEARCH("R07",$AD142)),1,0)</f>
        <v>0</v>
      </c>
      <c r="AL142" s="17" t="n">
        <f aca="false">IF(ISNUMBER(SEARCH("R09",$AD142)),1,0)</f>
        <v>0</v>
      </c>
      <c r="AM142" s="17" t="n">
        <f aca="false">IF(ISNUMBER(SEARCH("R10",$AD142)),1,0)</f>
        <v>0</v>
      </c>
      <c r="AN142" s="17" t="n">
        <f aca="false">IF(ISNUMBER(SEARCH("S5",$AD142)),1,0)</f>
        <v>0</v>
      </c>
      <c r="AO142" s="17" t="n">
        <f aca="false">IF(ISNUMBER(SEARCH("S6",$AD142)),1,0)</f>
        <v>0</v>
      </c>
      <c r="AP142" s="17" t="n">
        <f aca="false">IF(ISNUMBER(SEARCH("TR",$AD142)),1,0)</f>
        <v>1</v>
      </c>
    </row>
    <row r="143" customFormat="false" ht="147" hidden="false" customHeight="true" outlineLevel="0" collapsed="false">
      <c r="A143" s="4" t="s">
        <v>860</v>
      </c>
      <c r="B143" s="4" t="s">
        <v>816</v>
      </c>
      <c r="C143" s="4" t="s">
        <v>817</v>
      </c>
      <c r="D143" s="4" t="s">
        <v>861</v>
      </c>
      <c r="E143" s="4" t="s">
        <v>44</v>
      </c>
      <c r="F143" s="4" t="s">
        <v>819</v>
      </c>
      <c r="G143" s="4" t="s">
        <v>92</v>
      </c>
      <c r="H143" s="4" t="s">
        <v>161</v>
      </c>
      <c r="I143" s="4" t="s">
        <v>99</v>
      </c>
      <c r="J143" s="4" t="s">
        <v>86</v>
      </c>
      <c r="K143" s="4" t="s">
        <v>862</v>
      </c>
      <c r="L143" s="4" t="s">
        <v>95</v>
      </c>
      <c r="M143" s="4" t="s">
        <v>71</v>
      </c>
      <c r="N143" s="4" t="s">
        <v>61</v>
      </c>
      <c r="O143" s="4" t="s">
        <v>863</v>
      </c>
      <c r="P143" s="4" t="s">
        <v>821</v>
      </c>
      <c r="Q143" s="4" t="s">
        <v>51</v>
      </c>
      <c r="R143" s="4" t="s">
        <v>864</v>
      </c>
      <c r="S143" s="16" t="n">
        <f aca="false">IF(ISNUMBER(SEARCH("E0",$H143)),1,0)</f>
        <v>0</v>
      </c>
      <c r="T143" s="16" t="n">
        <f aca="false">IF(ISNUMBER(SEARCH("E1",$H143)),1,0)</f>
        <v>0</v>
      </c>
      <c r="U143" s="16" t="n">
        <f aca="false">IF(ISNUMBER(SEARCH("E2",$H143)),1,0)</f>
        <v>0</v>
      </c>
      <c r="V143" s="16" t="n">
        <f aca="false">IF(ISNUMBER(SEARCH("E3",$H143)),1,0)</f>
        <v>0</v>
      </c>
      <c r="W143" s="16" t="n">
        <f aca="false">IF(ISNUMBER(SEARCH("E4",$H143)),1,0)</f>
        <v>0</v>
      </c>
      <c r="X143" s="16" t="n">
        <f aca="false">IF(ISNUMBER(SEARCH("E5",$H143)),1,0)</f>
        <v>0</v>
      </c>
      <c r="Y143" s="16" t="n">
        <f aca="false">IF(ISNUMBER(SEARCH("E6",$H143)),1,0)</f>
        <v>0</v>
      </c>
      <c r="Z143" s="16" t="n">
        <f aca="false">IF(ISNUMBER(SEARCH("E7",$H143)),1,0)</f>
        <v>0</v>
      </c>
      <c r="AA143" s="16" t="n">
        <f aca="false">IF(ISNUMBER(SEARCH("E8",$H143)),1,0)</f>
        <v>0</v>
      </c>
      <c r="AB143" s="16" t="n">
        <f aca="false">IF(ISNUMBER(SEARCH("E9",$H143)),1,0)</f>
        <v>0</v>
      </c>
      <c r="AC143" s="16" t="n">
        <f aca="false">IF(ISNUMBER(SEARCH("TR",$H143)),1,0)</f>
        <v>1</v>
      </c>
      <c r="AD143" s="10" t="s">
        <v>161</v>
      </c>
      <c r="AE143" s="17" t="n">
        <f aca="false">IF(ISNUMBER(SEARCH("S0",$AD143)),1,0)</f>
        <v>0</v>
      </c>
      <c r="AF143" s="17" t="n">
        <f aca="false">IF(ISNUMBER(SEARCH("R01",$AD143)),1,0)</f>
        <v>0</v>
      </c>
      <c r="AG143" s="17" t="n">
        <f aca="false">IF(ISNUMBER(SEARCH("R02R03",$AD143)),1,0)</f>
        <v>0</v>
      </c>
      <c r="AH143" s="17" t="n">
        <f aca="false">IF(ISNUMBER(SEARCH("R04",$AD143)),1,0)</f>
        <v>0</v>
      </c>
      <c r="AI143" s="17" t="n">
        <f aca="false">IF(ISNUMBER(SEARCH("R05",$AD143)),1,0)</f>
        <v>0</v>
      </c>
      <c r="AJ143" s="17" t="n">
        <f aca="false">IF(ISNUMBER(SEARCH("S3R06",$AD143)),1,0)</f>
        <v>0</v>
      </c>
      <c r="AK143" s="17" t="n">
        <f aca="false">IF(ISNUMBER(SEARCH("R07",$AD143)),1,0)</f>
        <v>0</v>
      </c>
      <c r="AL143" s="17" t="n">
        <f aca="false">IF(ISNUMBER(SEARCH("R09",$AD143)),1,0)</f>
        <v>0</v>
      </c>
      <c r="AM143" s="17" t="n">
        <f aca="false">IF(ISNUMBER(SEARCH("R10",$AD143)),1,0)</f>
        <v>0</v>
      </c>
      <c r="AN143" s="17" t="n">
        <f aca="false">IF(ISNUMBER(SEARCH("S5",$AD143)),1,0)</f>
        <v>0</v>
      </c>
      <c r="AO143" s="17" t="n">
        <f aca="false">IF(ISNUMBER(SEARCH("S6",$AD143)),1,0)</f>
        <v>0</v>
      </c>
      <c r="AP143" s="17" t="n">
        <f aca="false">IF(ISNUMBER(SEARCH("TR",$AD143)),1,0)</f>
        <v>1</v>
      </c>
    </row>
    <row r="144" customFormat="false" ht="147" hidden="false" customHeight="true" outlineLevel="0" collapsed="false">
      <c r="A144" s="4" t="s">
        <v>865</v>
      </c>
      <c r="B144" s="4" t="s">
        <v>816</v>
      </c>
      <c r="C144" s="4" t="s">
        <v>817</v>
      </c>
      <c r="D144" s="4" t="s">
        <v>866</v>
      </c>
      <c r="E144" s="4" t="s">
        <v>44</v>
      </c>
      <c r="F144" s="4" t="s">
        <v>819</v>
      </c>
      <c r="G144" s="4" t="s">
        <v>76</v>
      </c>
      <c r="H144" s="4" t="s">
        <v>139</v>
      </c>
      <c r="I144" s="4" t="s">
        <v>93</v>
      </c>
      <c r="J144" s="4" t="s">
        <v>69</v>
      </c>
      <c r="K144" s="4" t="s">
        <v>198</v>
      </c>
      <c r="L144" s="4" t="s">
        <v>48</v>
      </c>
      <c r="M144" s="4" t="s">
        <v>71</v>
      </c>
      <c r="N144" s="4" t="s">
        <v>50</v>
      </c>
      <c r="O144" s="4" t="s">
        <v>867</v>
      </c>
      <c r="P144" s="4" t="s">
        <v>821</v>
      </c>
      <c r="Q144" s="4" t="s">
        <v>51</v>
      </c>
      <c r="R144" s="4" t="s">
        <v>868</v>
      </c>
      <c r="S144" s="16" t="n">
        <f aca="false">IF(ISNUMBER(SEARCH("E0",$H144)),1,0)</f>
        <v>1</v>
      </c>
      <c r="T144" s="16" t="n">
        <f aca="false">IF(ISNUMBER(SEARCH("E1",$H144)),1,0)</f>
        <v>0</v>
      </c>
      <c r="U144" s="16" t="n">
        <f aca="false">IF(ISNUMBER(SEARCH("E2",$H144)),1,0)</f>
        <v>0</v>
      </c>
      <c r="V144" s="16" t="n">
        <f aca="false">IF(ISNUMBER(SEARCH("E3",$H144)),1,0)</f>
        <v>0</v>
      </c>
      <c r="W144" s="16" t="n">
        <f aca="false">IF(ISNUMBER(SEARCH("E4",$H144)),1,0)</f>
        <v>0</v>
      </c>
      <c r="X144" s="16" t="n">
        <f aca="false">IF(ISNUMBER(SEARCH("E5",$H144)),1,0)</f>
        <v>0</v>
      </c>
      <c r="Y144" s="16" t="n">
        <f aca="false">IF(ISNUMBER(SEARCH("E6",$H144)),1,0)</f>
        <v>0</v>
      </c>
      <c r="Z144" s="16" t="n">
        <f aca="false">IF(ISNUMBER(SEARCH("E7",$H144)),1,0)</f>
        <v>0</v>
      </c>
      <c r="AA144" s="16" t="n">
        <f aca="false">IF(ISNUMBER(SEARCH("E8",$H144)),1,0)</f>
        <v>0</v>
      </c>
      <c r="AB144" s="16" t="n">
        <f aca="false">IF(ISNUMBER(SEARCH("E9",$H144)),1,0)</f>
        <v>0</v>
      </c>
      <c r="AC144" s="16" t="n">
        <f aca="false">IF(ISNUMBER(SEARCH("TR",$H144)),1,0)</f>
        <v>0</v>
      </c>
      <c r="AD144" s="10" t="s">
        <v>182</v>
      </c>
      <c r="AE144" s="17" t="n">
        <f aca="false">IF(ISNUMBER(SEARCH("S0",$AD144)),1,0)</f>
        <v>1</v>
      </c>
      <c r="AF144" s="17" t="n">
        <f aca="false">IF(ISNUMBER(SEARCH("R01",$AD144)),1,0)</f>
        <v>0</v>
      </c>
      <c r="AG144" s="17" t="n">
        <f aca="false">IF(ISNUMBER(SEARCH("R02R03",$AD144)),1,0)</f>
        <v>0</v>
      </c>
      <c r="AH144" s="17" t="n">
        <f aca="false">IF(ISNUMBER(SEARCH("R04",$AD144)),1,0)</f>
        <v>0</v>
      </c>
      <c r="AI144" s="17" t="n">
        <f aca="false">IF(ISNUMBER(SEARCH("R05",$AD144)),1,0)</f>
        <v>0</v>
      </c>
      <c r="AJ144" s="17" t="n">
        <f aca="false">IF(ISNUMBER(SEARCH("S3R06",$AD144)),1,0)</f>
        <v>0</v>
      </c>
      <c r="AK144" s="17" t="n">
        <f aca="false">IF(ISNUMBER(SEARCH("R07",$AD144)),1,0)</f>
        <v>0</v>
      </c>
      <c r="AL144" s="17" t="n">
        <f aca="false">IF(ISNUMBER(SEARCH("R09",$AD144)),1,0)</f>
        <v>0</v>
      </c>
      <c r="AM144" s="17" t="n">
        <f aca="false">IF(ISNUMBER(SEARCH("R10",$AD144)),1,0)</f>
        <v>0</v>
      </c>
      <c r="AN144" s="17" t="n">
        <f aca="false">IF(ISNUMBER(SEARCH("S5",$AD144)),1,0)</f>
        <v>0</v>
      </c>
      <c r="AO144" s="17" t="n">
        <f aca="false">IF(ISNUMBER(SEARCH("S6",$AD144)),1,0)</f>
        <v>0</v>
      </c>
      <c r="AP144" s="17" t="n">
        <f aca="false">IF(ISNUMBER(SEARCH("TR",$AD144)),1,0)</f>
        <v>0</v>
      </c>
    </row>
    <row r="145" customFormat="false" ht="213.75" hidden="false" customHeight="true" outlineLevel="0" collapsed="false">
      <c r="A145" s="4" t="s">
        <v>869</v>
      </c>
      <c r="B145" s="4" t="s">
        <v>816</v>
      </c>
      <c r="C145" s="4" t="s">
        <v>817</v>
      </c>
      <c r="D145" s="4" t="s">
        <v>870</v>
      </c>
      <c r="E145" s="4" t="s">
        <v>44</v>
      </c>
      <c r="F145" s="4" t="s">
        <v>819</v>
      </c>
      <c r="G145" s="4" t="s">
        <v>92</v>
      </c>
      <c r="H145" s="4" t="s">
        <v>161</v>
      </c>
      <c r="I145" s="4" t="s">
        <v>99</v>
      </c>
      <c r="J145" s="4" t="s">
        <v>94</v>
      </c>
      <c r="K145" s="4" t="s">
        <v>871</v>
      </c>
      <c r="L145" s="4" t="s">
        <v>95</v>
      </c>
      <c r="M145" s="4" t="s">
        <v>71</v>
      </c>
      <c r="N145" s="4" t="s">
        <v>61</v>
      </c>
      <c r="O145" s="4" t="s">
        <v>872</v>
      </c>
      <c r="P145" s="4" t="s">
        <v>821</v>
      </c>
      <c r="Q145" s="4" t="s">
        <v>51</v>
      </c>
      <c r="R145" s="4" t="s">
        <v>873</v>
      </c>
      <c r="S145" s="16" t="n">
        <f aca="false">IF(ISNUMBER(SEARCH("E0",$H145)),1,0)</f>
        <v>0</v>
      </c>
      <c r="T145" s="16" t="n">
        <f aca="false">IF(ISNUMBER(SEARCH("E1",$H145)),1,0)</f>
        <v>0</v>
      </c>
      <c r="U145" s="16" t="n">
        <f aca="false">IF(ISNUMBER(SEARCH("E2",$H145)),1,0)</f>
        <v>0</v>
      </c>
      <c r="V145" s="16" t="n">
        <f aca="false">IF(ISNUMBER(SEARCH("E3",$H145)),1,0)</f>
        <v>0</v>
      </c>
      <c r="W145" s="16" t="n">
        <f aca="false">IF(ISNUMBER(SEARCH("E4",$H145)),1,0)</f>
        <v>0</v>
      </c>
      <c r="X145" s="16" t="n">
        <f aca="false">IF(ISNUMBER(SEARCH("E5",$H145)),1,0)</f>
        <v>0</v>
      </c>
      <c r="Y145" s="16" t="n">
        <f aca="false">IF(ISNUMBER(SEARCH("E6",$H145)),1,0)</f>
        <v>0</v>
      </c>
      <c r="Z145" s="16" t="n">
        <f aca="false">IF(ISNUMBER(SEARCH("E7",$H145)),1,0)</f>
        <v>0</v>
      </c>
      <c r="AA145" s="16" t="n">
        <f aca="false">IF(ISNUMBER(SEARCH("E8",$H145)),1,0)</f>
        <v>0</v>
      </c>
      <c r="AB145" s="16" t="n">
        <f aca="false">IF(ISNUMBER(SEARCH("E9",$H145)),1,0)</f>
        <v>0</v>
      </c>
      <c r="AC145" s="16" t="n">
        <f aca="false">IF(ISNUMBER(SEARCH("TR",$H145)),1,0)</f>
        <v>1</v>
      </c>
      <c r="AD145" s="10" t="s">
        <v>161</v>
      </c>
      <c r="AE145" s="17" t="n">
        <f aca="false">IF(ISNUMBER(SEARCH("S0",$AD145)),1,0)</f>
        <v>0</v>
      </c>
      <c r="AF145" s="17" t="n">
        <f aca="false">IF(ISNUMBER(SEARCH("R01",$AD145)),1,0)</f>
        <v>0</v>
      </c>
      <c r="AG145" s="17" t="n">
        <f aca="false">IF(ISNUMBER(SEARCH("R02R03",$AD145)),1,0)</f>
        <v>0</v>
      </c>
      <c r="AH145" s="17" t="n">
        <f aca="false">IF(ISNUMBER(SEARCH("R04",$AD145)),1,0)</f>
        <v>0</v>
      </c>
      <c r="AI145" s="17" t="n">
        <f aca="false">IF(ISNUMBER(SEARCH("R05",$AD145)),1,0)</f>
        <v>0</v>
      </c>
      <c r="AJ145" s="17" t="n">
        <f aca="false">IF(ISNUMBER(SEARCH("S3R06",$AD145)),1,0)</f>
        <v>0</v>
      </c>
      <c r="AK145" s="17" t="n">
        <f aca="false">IF(ISNUMBER(SEARCH("R07",$AD145)),1,0)</f>
        <v>0</v>
      </c>
      <c r="AL145" s="17" t="n">
        <f aca="false">IF(ISNUMBER(SEARCH("R09",$AD145)),1,0)</f>
        <v>0</v>
      </c>
      <c r="AM145" s="17" t="n">
        <f aca="false">IF(ISNUMBER(SEARCH("R10",$AD145)),1,0)</f>
        <v>0</v>
      </c>
      <c r="AN145" s="17" t="n">
        <f aca="false">IF(ISNUMBER(SEARCH("S5",$AD145)),1,0)</f>
        <v>0</v>
      </c>
      <c r="AO145" s="17" t="n">
        <f aca="false">IF(ISNUMBER(SEARCH("S6",$AD145)),1,0)</f>
        <v>0</v>
      </c>
      <c r="AP145" s="17" t="n">
        <f aca="false">IF(ISNUMBER(SEARCH("TR",$AD145)),1,0)</f>
        <v>1</v>
      </c>
    </row>
    <row r="146" customFormat="false" ht="168.75" hidden="false" customHeight="true" outlineLevel="0" collapsed="false">
      <c r="A146" s="4" t="s">
        <v>874</v>
      </c>
      <c r="B146" s="4" t="s">
        <v>816</v>
      </c>
      <c r="C146" s="4" t="s">
        <v>817</v>
      </c>
      <c r="D146" s="4" t="s">
        <v>875</v>
      </c>
      <c r="E146" s="4" t="s">
        <v>44</v>
      </c>
      <c r="F146" s="4" t="s">
        <v>819</v>
      </c>
      <c r="G146" s="4" t="s">
        <v>67</v>
      </c>
      <c r="H146" s="4" t="s">
        <v>161</v>
      </c>
      <c r="I146" s="4" t="s">
        <v>99</v>
      </c>
      <c r="J146" s="4" t="s">
        <v>94</v>
      </c>
      <c r="K146" s="4" t="s">
        <v>876</v>
      </c>
      <c r="L146" s="4" t="s">
        <v>87</v>
      </c>
      <c r="M146" s="4" t="s">
        <v>71</v>
      </c>
      <c r="N146" s="4" t="s">
        <v>61</v>
      </c>
      <c r="O146" s="4" t="s">
        <v>877</v>
      </c>
      <c r="P146" s="4" t="s">
        <v>821</v>
      </c>
      <c r="Q146" s="4" t="s">
        <v>51</v>
      </c>
      <c r="R146" s="4" t="s">
        <v>878</v>
      </c>
      <c r="S146" s="16" t="n">
        <f aca="false">IF(ISNUMBER(SEARCH("E0",$H146)),1,0)</f>
        <v>0</v>
      </c>
      <c r="T146" s="16" t="n">
        <f aca="false">IF(ISNUMBER(SEARCH("E1",$H146)),1,0)</f>
        <v>0</v>
      </c>
      <c r="U146" s="16" t="n">
        <f aca="false">IF(ISNUMBER(SEARCH("E2",$H146)),1,0)</f>
        <v>0</v>
      </c>
      <c r="V146" s="16" t="n">
        <f aca="false">IF(ISNUMBER(SEARCH("E3",$H146)),1,0)</f>
        <v>0</v>
      </c>
      <c r="W146" s="16" t="n">
        <f aca="false">IF(ISNUMBER(SEARCH("E4",$H146)),1,0)</f>
        <v>0</v>
      </c>
      <c r="X146" s="16" t="n">
        <f aca="false">IF(ISNUMBER(SEARCH("E5",$H146)),1,0)</f>
        <v>0</v>
      </c>
      <c r="Y146" s="16" t="n">
        <f aca="false">IF(ISNUMBER(SEARCH("E6",$H146)),1,0)</f>
        <v>0</v>
      </c>
      <c r="Z146" s="16" t="n">
        <f aca="false">IF(ISNUMBER(SEARCH("E7",$H146)),1,0)</f>
        <v>0</v>
      </c>
      <c r="AA146" s="16" t="n">
        <f aca="false">IF(ISNUMBER(SEARCH("E8",$H146)),1,0)</f>
        <v>0</v>
      </c>
      <c r="AB146" s="16" t="n">
        <f aca="false">IF(ISNUMBER(SEARCH("E9",$H146)),1,0)</f>
        <v>0</v>
      </c>
      <c r="AC146" s="16" t="n">
        <f aca="false">IF(ISNUMBER(SEARCH("TR",$H146)),1,0)</f>
        <v>1</v>
      </c>
      <c r="AD146" s="10" t="s">
        <v>161</v>
      </c>
      <c r="AE146" s="17" t="n">
        <f aca="false">IF(ISNUMBER(SEARCH("S0",$AD146)),1,0)</f>
        <v>0</v>
      </c>
      <c r="AF146" s="17" t="n">
        <f aca="false">IF(ISNUMBER(SEARCH("R01",$AD146)),1,0)</f>
        <v>0</v>
      </c>
      <c r="AG146" s="17" t="n">
        <f aca="false">IF(ISNUMBER(SEARCH("R02R03",$AD146)),1,0)</f>
        <v>0</v>
      </c>
      <c r="AH146" s="17" t="n">
        <f aca="false">IF(ISNUMBER(SEARCH("R04",$AD146)),1,0)</f>
        <v>0</v>
      </c>
      <c r="AI146" s="17" t="n">
        <f aca="false">IF(ISNUMBER(SEARCH("R05",$AD146)),1,0)</f>
        <v>0</v>
      </c>
      <c r="AJ146" s="17" t="n">
        <f aca="false">IF(ISNUMBER(SEARCH("S3R06",$AD146)),1,0)</f>
        <v>0</v>
      </c>
      <c r="AK146" s="17" t="n">
        <f aca="false">IF(ISNUMBER(SEARCH("R07",$AD146)),1,0)</f>
        <v>0</v>
      </c>
      <c r="AL146" s="17" t="n">
        <f aca="false">IF(ISNUMBER(SEARCH("R09",$AD146)),1,0)</f>
        <v>0</v>
      </c>
      <c r="AM146" s="17" t="n">
        <f aca="false">IF(ISNUMBER(SEARCH("R10",$AD146)),1,0)</f>
        <v>0</v>
      </c>
      <c r="AN146" s="17" t="n">
        <f aca="false">IF(ISNUMBER(SEARCH("S5",$AD146)),1,0)</f>
        <v>0</v>
      </c>
      <c r="AO146" s="17" t="n">
        <f aca="false">IF(ISNUMBER(SEARCH("S6",$AD146)),1,0)</f>
        <v>0</v>
      </c>
      <c r="AP146" s="17" t="n">
        <f aca="false">IF(ISNUMBER(SEARCH("TR",$AD146)),1,0)</f>
        <v>1</v>
      </c>
    </row>
    <row r="147" customFormat="false" ht="135.75" hidden="false" customHeight="true" outlineLevel="0" collapsed="false">
      <c r="A147" s="4" t="s">
        <v>879</v>
      </c>
      <c r="B147" s="4" t="s">
        <v>816</v>
      </c>
      <c r="C147" s="4" t="s">
        <v>817</v>
      </c>
      <c r="D147" s="4" t="s">
        <v>880</v>
      </c>
      <c r="E147" s="4" t="s">
        <v>44</v>
      </c>
      <c r="F147" s="4" t="s">
        <v>881</v>
      </c>
      <c r="G147" s="4" t="s">
        <v>84</v>
      </c>
      <c r="H147" s="4" t="s">
        <v>156</v>
      </c>
      <c r="I147" s="4" t="s">
        <v>77</v>
      </c>
      <c r="J147" s="4" t="s">
        <v>69</v>
      </c>
      <c r="K147" s="4" t="s">
        <v>198</v>
      </c>
      <c r="L147" s="4" t="s">
        <v>48</v>
      </c>
      <c r="M147" s="4" t="s">
        <v>71</v>
      </c>
      <c r="N147" s="4" t="s">
        <v>50</v>
      </c>
      <c r="O147" s="4" t="s">
        <v>882</v>
      </c>
      <c r="P147" s="4" t="s">
        <v>821</v>
      </c>
      <c r="Q147" s="4" t="s">
        <v>51</v>
      </c>
      <c r="R147" s="4" t="s">
        <v>883</v>
      </c>
      <c r="S147" s="16" t="n">
        <f aca="false">IF(ISNUMBER(SEARCH("E0",$H147)),1,0)</f>
        <v>0</v>
      </c>
      <c r="T147" s="16" t="n">
        <f aca="false">IF(ISNUMBER(SEARCH("E1",$H147)),1,0)</f>
        <v>0</v>
      </c>
      <c r="U147" s="16" t="n">
        <f aca="false">IF(ISNUMBER(SEARCH("E2",$H147)),1,0)</f>
        <v>0</v>
      </c>
      <c r="V147" s="16" t="n">
        <f aca="false">IF(ISNUMBER(SEARCH("E3",$H147)),1,0)</f>
        <v>0</v>
      </c>
      <c r="W147" s="16" t="n">
        <f aca="false">IF(ISNUMBER(SEARCH("E4",$H147)),1,0)</f>
        <v>0</v>
      </c>
      <c r="X147" s="16" t="n">
        <f aca="false">IF(ISNUMBER(SEARCH("E5",$H147)),1,0)</f>
        <v>0</v>
      </c>
      <c r="Y147" s="16" t="n">
        <f aca="false">IF(ISNUMBER(SEARCH("E6",$H147)),1,0)</f>
        <v>0</v>
      </c>
      <c r="Z147" s="16" t="n">
        <f aca="false">IF(ISNUMBER(SEARCH("E7",$H147)),1,0)</f>
        <v>0</v>
      </c>
      <c r="AA147" s="16" t="n">
        <f aca="false">IF(ISNUMBER(SEARCH("E8",$H147)),1,0)</f>
        <v>1</v>
      </c>
      <c r="AB147" s="16" t="n">
        <f aca="false">IF(ISNUMBER(SEARCH("E9",$H147)),1,0)</f>
        <v>0</v>
      </c>
      <c r="AC147" s="16" t="n">
        <f aca="false">IF(ISNUMBER(SEARCH("TR",$H147)),1,0)</f>
        <v>0</v>
      </c>
      <c r="AD147" s="10" t="s">
        <v>191</v>
      </c>
      <c r="AE147" s="17" t="n">
        <f aca="false">IF(ISNUMBER(SEARCH("S0",$AD147)),1,0)</f>
        <v>0</v>
      </c>
      <c r="AF147" s="17" t="n">
        <f aca="false">IF(ISNUMBER(SEARCH("R01",$AD147)),1,0)</f>
        <v>0</v>
      </c>
      <c r="AG147" s="17" t="n">
        <f aca="false">IF(ISNUMBER(SEARCH("R02R03",$AD147)),1,0)</f>
        <v>0</v>
      </c>
      <c r="AH147" s="17" t="n">
        <f aca="false">IF(ISNUMBER(SEARCH("R04",$AD147)),1,0)</f>
        <v>0</v>
      </c>
      <c r="AI147" s="17" t="n">
        <f aca="false">IF(ISNUMBER(SEARCH("R05",$AD147)),1,0)</f>
        <v>0</v>
      </c>
      <c r="AJ147" s="17" t="n">
        <f aca="false">IF(ISNUMBER(SEARCH("S3R06",$AD147)),1,0)</f>
        <v>0</v>
      </c>
      <c r="AK147" s="17" t="n">
        <f aca="false">IF(ISNUMBER(SEARCH("R07",$AD147)),1,0)</f>
        <v>0</v>
      </c>
      <c r="AL147" s="17" t="n">
        <f aca="false">IF(ISNUMBER(SEARCH("R09",$AD147)),1,0)</f>
        <v>0</v>
      </c>
      <c r="AM147" s="17" t="n">
        <f aca="false">IF(ISNUMBER(SEARCH("R10",$AD147)),1,0)</f>
        <v>0</v>
      </c>
      <c r="AN147" s="17" t="n">
        <f aca="false">IF(ISNUMBER(SEARCH("S5",$AD147)),1,0)</f>
        <v>1</v>
      </c>
      <c r="AO147" s="17" t="n">
        <f aca="false">IF(ISNUMBER(SEARCH("S6",$AD147)),1,0)</f>
        <v>0</v>
      </c>
      <c r="AP147" s="17" t="n">
        <f aca="false">IF(ISNUMBER(SEARCH("TR",$AD147)),1,0)</f>
        <v>0</v>
      </c>
    </row>
    <row r="148" customFormat="false" ht="147" hidden="false" customHeight="true" outlineLevel="0" collapsed="false">
      <c r="A148" s="4" t="s">
        <v>884</v>
      </c>
      <c r="B148" s="4" t="s">
        <v>816</v>
      </c>
      <c r="C148" s="4" t="s">
        <v>817</v>
      </c>
      <c r="D148" s="4" t="s">
        <v>885</v>
      </c>
      <c r="E148" s="4" t="s">
        <v>44</v>
      </c>
      <c r="F148" s="4" t="s">
        <v>886</v>
      </c>
      <c r="G148" s="4" t="s">
        <v>45</v>
      </c>
      <c r="H148" s="4" t="s">
        <v>161</v>
      </c>
      <c r="I148" s="4" t="s">
        <v>93</v>
      </c>
      <c r="J148" s="4" t="s">
        <v>86</v>
      </c>
      <c r="K148" s="4" t="s">
        <v>198</v>
      </c>
      <c r="L148" s="4" t="s">
        <v>79</v>
      </c>
      <c r="M148" s="4" t="s">
        <v>71</v>
      </c>
      <c r="N148" s="4" t="s">
        <v>61</v>
      </c>
      <c r="O148" s="4" t="s">
        <v>887</v>
      </c>
      <c r="P148" s="4" t="s">
        <v>888</v>
      </c>
      <c r="Q148" s="4" t="s">
        <v>51</v>
      </c>
      <c r="R148" s="4" t="s">
        <v>889</v>
      </c>
      <c r="S148" s="16" t="n">
        <f aca="false">IF(ISNUMBER(SEARCH("E0",$H148)),1,0)</f>
        <v>0</v>
      </c>
      <c r="T148" s="16" t="n">
        <f aca="false">IF(ISNUMBER(SEARCH("E1",$H148)),1,0)</f>
        <v>0</v>
      </c>
      <c r="U148" s="16" t="n">
        <f aca="false">IF(ISNUMBER(SEARCH("E2",$H148)),1,0)</f>
        <v>0</v>
      </c>
      <c r="V148" s="16" t="n">
        <f aca="false">IF(ISNUMBER(SEARCH("E3",$H148)),1,0)</f>
        <v>0</v>
      </c>
      <c r="W148" s="16" t="n">
        <f aca="false">IF(ISNUMBER(SEARCH("E4",$H148)),1,0)</f>
        <v>0</v>
      </c>
      <c r="X148" s="16" t="n">
        <f aca="false">IF(ISNUMBER(SEARCH("E5",$H148)),1,0)</f>
        <v>0</v>
      </c>
      <c r="Y148" s="16" t="n">
        <f aca="false">IF(ISNUMBER(SEARCH("E6",$H148)),1,0)</f>
        <v>0</v>
      </c>
      <c r="Z148" s="16" t="n">
        <f aca="false">IF(ISNUMBER(SEARCH("E7",$H148)),1,0)</f>
        <v>0</v>
      </c>
      <c r="AA148" s="16" t="n">
        <f aca="false">IF(ISNUMBER(SEARCH("E8",$H148)),1,0)</f>
        <v>0</v>
      </c>
      <c r="AB148" s="16" t="n">
        <f aca="false">IF(ISNUMBER(SEARCH("E9",$H148)),1,0)</f>
        <v>0</v>
      </c>
      <c r="AC148" s="16" t="n">
        <f aca="false">IF(ISNUMBER(SEARCH("TR",$H148)),1,0)</f>
        <v>1</v>
      </c>
      <c r="AD148" s="10" t="s">
        <v>161</v>
      </c>
      <c r="AE148" s="17" t="n">
        <f aca="false">IF(ISNUMBER(SEARCH("S0",$AD148)),1,0)</f>
        <v>0</v>
      </c>
      <c r="AF148" s="17" t="n">
        <f aca="false">IF(ISNUMBER(SEARCH("R01",$AD148)),1,0)</f>
        <v>0</v>
      </c>
      <c r="AG148" s="17" t="n">
        <f aca="false">IF(ISNUMBER(SEARCH("R02R03",$AD148)),1,0)</f>
        <v>0</v>
      </c>
      <c r="AH148" s="17" t="n">
        <f aca="false">IF(ISNUMBER(SEARCH("R04",$AD148)),1,0)</f>
        <v>0</v>
      </c>
      <c r="AI148" s="17" t="n">
        <f aca="false">IF(ISNUMBER(SEARCH("R05",$AD148)),1,0)</f>
        <v>0</v>
      </c>
      <c r="AJ148" s="17" t="n">
        <f aca="false">IF(ISNUMBER(SEARCH("S3R06",$AD148)),1,0)</f>
        <v>0</v>
      </c>
      <c r="AK148" s="17" t="n">
        <f aca="false">IF(ISNUMBER(SEARCH("R07",$AD148)),1,0)</f>
        <v>0</v>
      </c>
      <c r="AL148" s="17" t="n">
        <f aca="false">IF(ISNUMBER(SEARCH("R09",$AD148)),1,0)</f>
        <v>0</v>
      </c>
      <c r="AM148" s="17" t="n">
        <f aca="false">IF(ISNUMBER(SEARCH("R10",$AD148)),1,0)</f>
        <v>0</v>
      </c>
      <c r="AN148" s="17" t="n">
        <f aca="false">IF(ISNUMBER(SEARCH("S5",$AD148)),1,0)</f>
        <v>0</v>
      </c>
      <c r="AO148" s="17" t="n">
        <f aca="false">IF(ISNUMBER(SEARCH("S6",$AD148)),1,0)</f>
        <v>0</v>
      </c>
      <c r="AP148" s="17" t="n">
        <f aca="false">IF(ISNUMBER(SEARCH("TR",$AD148)),1,0)</f>
        <v>1</v>
      </c>
    </row>
    <row r="149" customFormat="false" ht="90.75" hidden="false" customHeight="true" outlineLevel="0" collapsed="false">
      <c r="A149" s="4" t="s">
        <v>890</v>
      </c>
      <c r="B149" s="4" t="s">
        <v>816</v>
      </c>
      <c r="C149" s="4" t="s">
        <v>817</v>
      </c>
      <c r="D149" s="4" t="s">
        <v>891</v>
      </c>
      <c r="E149" s="4" t="s">
        <v>44</v>
      </c>
      <c r="F149" s="4" t="s">
        <v>886</v>
      </c>
      <c r="G149" s="4" t="s">
        <v>110</v>
      </c>
      <c r="H149" s="4" t="s">
        <v>161</v>
      </c>
      <c r="I149" s="4" t="s">
        <v>118</v>
      </c>
      <c r="J149" s="4" t="s">
        <v>86</v>
      </c>
      <c r="K149" s="4" t="s">
        <v>892</v>
      </c>
      <c r="L149" s="4" t="s">
        <v>95</v>
      </c>
      <c r="M149" s="4" t="s">
        <v>71</v>
      </c>
      <c r="N149" s="4" t="s">
        <v>61</v>
      </c>
      <c r="O149" s="4" t="s">
        <v>893</v>
      </c>
      <c r="P149" s="4" t="s">
        <v>888</v>
      </c>
      <c r="Q149" s="4" t="s">
        <v>51</v>
      </c>
      <c r="R149" s="4" t="s">
        <v>894</v>
      </c>
      <c r="S149" s="16" t="n">
        <f aca="false">IF(ISNUMBER(SEARCH("E0",$H149)),1,0)</f>
        <v>0</v>
      </c>
      <c r="T149" s="16" t="n">
        <f aca="false">IF(ISNUMBER(SEARCH("E1",$H149)),1,0)</f>
        <v>0</v>
      </c>
      <c r="U149" s="16" t="n">
        <f aca="false">IF(ISNUMBER(SEARCH("E2",$H149)),1,0)</f>
        <v>0</v>
      </c>
      <c r="V149" s="16" t="n">
        <f aca="false">IF(ISNUMBER(SEARCH("E3",$H149)),1,0)</f>
        <v>0</v>
      </c>
      <c r="W149" s="16" t="n">
        <f aca="false">IF(ISNUMBER(SEARCH("E4",$H149)),1,0)</f>
        <v>0</v>
      </c>
      <c r="X149" s="16" t="n">
        <f aca="false">IF(ISNUMBER(SEARCH("E5",$H149)),1,0)</f>
        <v>0</v>
      </c>
      <c r="Y149" s="16" t="n">
        <f aca="false">IF(ISNUMBER(SEARCH("E6",$H149)),1,0)</f>
        <v>0</v>
      </c>
      <c r="Z149" s="16" t="n">
        <f aca="false">IF(ISNUMBER(SEARCH("E7",$H149)),1,0)</f>
        <v>0</v>
      </c>
      <c r="AA149" s="16" t="n">
        <f aca="false">IF(ISNUMBER(SEARCH("E8",$H149)),1,0)</f>
        <v>0</v>
      </c>
      <c r="AB149" s="16" t="n">
        <f aca="false">IF(ISNUMBER(SEARCH("E9",$H149)),1,0)</f>
        <v>0</v>
      </c>
      <c r="AC149" s="16" t="n">
        <f aca="false">IF(ISNUMBER(SEARCH("TR",$H149)),1,0)</f>
        <v>1</v>
      </c>
      <c r="AD149" s="10" t="s">
        <v>161</v>
      </c>
      <c r="AE149" s="17" t="n">
        <f aca="false">IF(ISNUMBER(SEARCH("S0",$AD149)),1,0)</f>
        <v>0</v>
      </c>
      <c r="AF149" s="17" t="n">
        <f aca="false">IF(ISNUMBER(SEARCH("R01",$AD149)),1,0)</f>
        <v>0</v>
      </c>
      <c r="AG149" s="17" t="n">
        <f aca="false">IF(ISNUMBER(SEARCH("R02R03",$AD149)),1,0)</f>
        <v>0</v>
      </c>
      <c r="AH149" s="17" t="n">
        <f aca="false">IF(ISNUMBER(SEARCH("R04",$AD149)),1,0)</f>
        <v>0</v>
      </c>
      <c r="AI149" s="17" t="n">
        <f aca="false">IF(ISNUMBER(SEARCH("R05",$AD149)),1,0)</f>
        <v>0</v>
      </c>
      <c r="AJ149" s="17" t="n">
        <f aca="false">IF(ISNUMBER(SEARCH("S3R06",$AD149)),1,0)</f>
        <v>0</v>
      </c>
      <c r="AK149" s="17" t="n">
        <f aca="false">IF(ISNUMBER(SEARCH("R07",$AD149)),1,0)</f>
        <v>0</v>
      </c>
      <c r="AL149" s="17" t="n">
        <f aca="false">IF(ISNUMBER(SEARCH("R09",$AD149)),1,0)</f>
        <v>0</v>
      </c>
      <c r="AM149" s="17" t="n">
        <f aca="false">IF(ISNUMBER(SEARCH("R10",$AD149)),1,0)</f>
        <v>0</v>
      </c>
      <c r="AN149" s="17" t="n">
        <f aca="false">IF(ISNUMBER(SEARCH("S5",$AD149)),1,0)</f>
        <v>0</v>
      </c>
      <c r="AO149" s="17" t="n">
        <f aca="false">IF(ISNUMBER(SEARCH("S6",$AD149)),1,0)</f>
        <v>0</v>
      </c>
      <c r="AP149" s="17" t="n">
        <f aca="false">IF(ISNUMBER(SEARCH("TR",$AD149)),1,0)</f>
        <v>1</v>
      </c>
    </row>
    <row r="150" customFormat="false" ht="113.25" hidden="false" customHeight="true" outlineLevel="0" collapsed="false">
      <c r="A150" s="4" t="s">
        <v>895</v>
      </c>
      <c r="B150" s="4" t="s">
        <v>896</v>
      </c>
      <c r="C150" s="4" t="s">
        <v>897</v>
      </c>
      <c r="D150" s="4" t="s">
        <v>898</v>
      </c>
      <c r="E150" s="4" t="s">
        <v>44</v>
      </c>
      <c r="F150" s="4" t="s">
        <v>197</v>
      </c>
      <c r="G150" s="4" t="s">
        <v>45</v>
      </c>
      <c r="H150" s="4" t="s">
        <v>144</v>
      </c>
      <c r="I150" s="4" t="s">
        <v>111</v>
      </c>
      <c r="J150" s="4" t="s">
        <v>100</v>
      </c>
      <c r="K150" s="4" t="s">
        <v>198</v>
      </c>
      <c r="L150" s="4" t="s">
        <v>95</v>
      </c>
      <c r="M150" s="4" t="s">
        <v>88</v>
      </c>
      <c r="N150" s="4" t="s">
        <v>61</v>
      </c>
      <c r="O150" s="4" t="s">
        <v>899</v>
      </c>
      <c r="P150" s="4" t="s">
        <v>900</v>
      </c>
      <c r="Q150" s="4" t="s">
        <v>51</v>
      </c>
      <c r="R150" s="4" t="s">
        <v>901</v>
      </c>
      <c r="S150" s="16" t="n">
        <f aca="false">IF(ISNUMBER(SEARCH("E0",$H150)),1,0)</f>
        <v>0</v>
      </c>
      <c r="T150" s="16" t="n">
        <f aca="false">IF(ISNUMBER(SEARCH("E1",$H150)),1,0)</f>
        <v>0</v>
      </c>
      <c r="U150" s="16" t="n">
        <f aca="false">IF(ISNUMBER(SEARCH("E2",$H150)),1,0)</f>
        <v>1</v>
      </c>
      <c r="V150" s="16" t="n">
        <f aca="false">IF(ISNUMBER(SEARCH("E3",$H150)),1,0)</f>
        <v>0</v>
      </c>
      <c r="W150" s="16" t="n">
        <f aca="false">IF(ISNUMBER(SEARCH("E4",$H150)),1,0)</f>
        <v>0</v>
      </c>
      <c r="X150" s="16" t="n">
        <f aca="false">IF(ISNUMBER(SEARCH("E5",$H150)),1,0)</f>
        <v>0</v>
      </c>
      <c r="Y150" s="16" t="n">
        <f aca="false">IF(ISNUMBER(SEARCH("E6",$H150)),1,0)</f>
        <v>0</v>
      </c>
      <c r="Z150" s="16" t="n">
        <f aca="false">IF(ISNUMBER(SEARCH("E7",$H150)),1,0)</f>
        <v>0</v>
      </c>
      <c r="AA150" s="16" t="n">
        <f aca="false">IF(ISNUMBER(SEARCH("E8",$H150)),1,0)</f>
        <v>0</v>
      </c>
      <c r="AB150" s="16" t="n">
        <f aca="false">IF(ISNUMBER(SEARCH("E9",$H150)),1,0)</f>
        <v>0</v>
      </c>
      <c r="AC150" s="16" t="n">
        <f aca="false">IF(ISNUMBER(SEARCH("TR",$H150)),1,0)</f>
        <v>0</v>
      </c>
      <c r="AD150" s="10" t="s">
        <v>574</v>
      </c>
      <c r="AE150" s="17" t="n">
        <f aca="false">IF(ISNUMBER(SEARCH("S0",$AD150)),1,0)</f>
        <v>0</v>
      </c>
      <c r="AF150" s="17" t="n">
        <f aca="false">IF(ISNUMBER(SEARCH("R01",$AD150)),1,0)</f>
        <v>0</v>
      </c>
      <c r="AG150" s="17" t="n">
        <f aca="false">IF(ISNUMBER(SEARCH("R02R03",$AD150)),1,0)</f>
        <v>1</v>
      </c>
      <c r="AH150" s="17" t="n">
        <f aca="false">IF(ISNUMBER(SEARCH("R04",$AD150)),1,0)</f>
        <v>0</v>
      </c>
      <c r="AI150" s="17" t="n">
        <f aca="false">IF(ISNUMBER(SEARCH("R05",$AD150)),1,0)</f>
        <v>0</v>
      </c>
      <c r="AJ150" s="17" t="n">
        <f aca="false">IF(ISNUMBER(SEARCH("S3R06",$AD150)),1,0)</f>
        <v>0</v>
      </c>
      <c r="AK150" s="17" t="n">
        <f aca="false">IF(ISNUMBER(SEARCH("R07",$AD150)),1,0)</f>
        <v>0</v>
      </c>
      <c r="AL150" s="17" t="n">
        <f aca="false">IF(ISNUMBER(SEARCH("R09",$AD150)),1,0)</f>
        <v>0</v>
      </c>
      <c r="AM150" s="17" t="n">
        <f aca="false">IF(ISNUMBER(SEARCH("R10",$AD150)),1,0)</f>
        <v>0</v>
      </c>
      <c r="AN150" s="17" t="n">
        <f aca="false">IF(ISNUMBER(SEARCH("S5",$AD150)),1,0)</f>
        <v>0</v>
      </c>
      <c r="AO150" s="17" t="n">
        <f aca="false">IF(ISNUMBER(SEARCH("S6",$AD150)),1,0)</f>
        <v>0</v>
      </c>
      <c r="AP150" s="17" t="n">
        <f aca="false">IF(ISNUMBER(SEARCH("TR",$AD150)),1,0)</f>
        <v>0</v>
      </c>
    </row>
    <row r="151" customFormat="false" ht="90.75" hidden="false" customHeight="true" outlineLevel="0" collapsed="false">
      <c r="A151" s="4" t="s">
        <v>902</v>
      </c>
      <c r="B151" s="4" t="s">
        <v>896</v>
      </c>
      <c r="C151" s="4" t="s">
        <v>897</v>
      </c>
      <c r="D151" s="4" t="s">
        <v>898</v>
      </c>
      <c r="E151" s="4" t="s">
        <v>44</v>
      </c>
      <c r="F151" s="4" t="s">
        <v>197</v>
      </c>
      <c r="G151" s="4" t="s">
        <v>45</v>
      </c>
      <c r="H151" s="4" t="s">
        <v>144</v>
      </c>
      <c r="I151" s="4" t="s">
        <v>111</v>
      </c>
      <c r="J151" s="4" t="s">
        <v>100</v>
      </c>
      <c r="K151" s="4" t="s">
        <v>198</v>
      </c>
      <c r="L151" s="4" t="s">
        <v>95</v>
      </c>
      <c r="M151" s="4" t="s">
        <v>88</v>
      </c>
      <c r="N151" s="4" t="s">
        <v>61</v>
      </c>
      <c r="O151" s="4" t="s">
        <v>903</v>
      </c>
      <c r="P151" s="4" t="s">
        <v>900</v>
      </c>
      <c r="Q151" s="4" t="s">
        <v>51</v>
      </c>
      <c r="R151" s="4" t="s">
        <v>904</v>
      </c>
      <c r="S151" s="16" t="n">
        <f aca="false">IF(ISNUMBER(SEARCH("E0",$H151)),1,0)</f>
        <v>0</v>
      </c>
      <c r="T151" s="16" t="n">
        <f aca="false">IF(ISNUMBER(SEARCH("E1",$H151)),1,0)</f>
        <v>0</v>
      </c>
      <c r="U151" s="16" t="n">
        <f aca="false">IF(ISNUMBER(SEARCH("E2",$H151)),1,0)</f>
        <v>1</v>
      </c>
      <c r="V151" s="16" t="n">
        <f aca="false">IF(ISNUMBER(SEARCH("E3",$H151)),1,0)</f>
        <v>0</v>
      </c>
      <c r="W151" s="16" t="n">
        <f aca="false">IF(ISNUMBER(SEARCH("E4",$H151)),1,0)</f>
        <v>0</v>
      </c>
      <c r="X151" s="16" t="n">
        <f aca="false">IF(ISNUMBER(SEARCH("E5",$H151)),1,0)</f>
        <v>0</v>
      </c>
      <c r="Y151" s="16" t="n">
        <f aca="false">IF(ISNUMBER(SEARCH("E6",$H151)),1,0)</f>
        <v>0</v>
      </c>
      <c r="Z151" s="16" t="n">
        <f aca="false">IF(ISNUMBER(SEARCH("E7",$H151)),1,0)</f>
        <v>0</v>
      </c>
      <c r="AA151" s="16" t="n">
        <f aca="false">IF(ISNUMBER(SEARCH("E8",$H151)),1,0)</f>
        <v>0</v>
      </c>
      <c r="AB151" s="16" t="n">
        <f aca="false">IF(ISNUMBER(SEARCH("E9",$H151)),1,0)</f>
        <v>0</v>
      </c>
      <c r="AC151" s="16" t="n">
        <f aca="false">IF(ISNUMBER(SEARCH("TR",$H151)),1,0)</f>
        <v>0</v>
      </c>
      <c r="AD151" s="10" t="s">
        <v>574</v>
      </c>
      <c r="AE151" s="17" t="n">
        <f aca="false">IF(ISNUMBER(SEARCH("S0",$AD151)),1,0)</f>
        <v>0</v>
      </c>
      <c r="AF151" s="17" t="n">
        <f aca="false">IF(ISNUMBER(SEARCH("R01",$AD151)),1,0)</f>
        <v>0</v>
      </c>
      <c r="AG151" s="17" t="n">
        <f aca="false">IF(ISNUMBER(SEARCH("R02R03",$AD151)),1,0)</f>
        <v>1</v>
      </c>
      <c r="AH151" s="17" t="n">
        <f aca="false">IF(ISNUMBER(SEARCH("R04",$AD151)),1,0)</f>
        <v>0</v>
      </c>
      <c r="AI151" s="17" t="n">
        <f aca="false">IF(ISNUMBER(SEARCH("R05",$AD151)),1,0)</f>
        <v>0</v>
      </c>
      <c r="AJ151" s="17" t="n">
        <f aca="false">IF(ISNUMBER(SEARCH("S3R06",$AD151)),1,0)</f>
        <v>0</v>
      </c>
      <c r="AK151" s="17" t="n">
        <f aca="false">IF(ISNUMBER(SEARCH("R07",$AD151)),1,0)</f>
        <v>0</v>
      </c>
      <c r="AL151" s="17" t="n">
        <f aca="false">IF(ISNUMBER(SEARCH("R09",$AD151)),1,0)</f>
        <v>0</v>
      </c>
      <c r="AM151" s="17" t="n">
        <f aca="false">IF(ISNUMBER(SEARCH("R10",$AD151)),1,0)</f>
        <v>0</v>
      </c>
      <c r="AN151" s="17" t="n">
        <f aca="false">IF(ISNUMBER(SEARCH("S5",$AD151)),1,0)</f>
        <v>0</v>
      </c>
      <c r="AO151" s="17" t="n">
        <f aca="false">IF(ISNUMBER(SEARCH("S6",$AD151)),1,0)</f>
        <v>0</v>
      </c>
      <c r="AP151" s="17" t="n">
        <f aca="false">IF(ISNUMBER(SEARCH("TR",$AD151)),1,0)</f>
        <v>0</v>
      </c>
    </row>
    <row r="152" customFormat="false" ht="90.75" hidden="false" customHeight="true" outlineLevel="0" collapsed="false">
      <c r="A152" s="4" t="s">
        <v>905</v>
      </c>
      <c r="B152" s="4" t="s">
        <v>896</v>
      </c>
      <c r="C152" s="4" t="s">
        <v>897</v>
      </c>
      <c r="D152" s="4" t="s">
        <v>906</v>
      </c>
      <c r="E152" s="4" t="s">
        <v>44</v>
      </c>
      <c r="F152" s="4" t="s">
        <v>197</v>
      </c>
      <c r="G152" s="4" t="s">
        <v>45</v>
      </c>
      <c r="H152" s="4" t="s">
        <v>144</v>
      </c>
      <c r="I152" s="4" t="s">
        <v>111</v>
      </c>
      <c r="J152" s="4" t="s">
        <v>100</v>
      </c>
      <c r="K152" s="4" t="s">
        <v>198</v>
      </c>
      <c r="L152" s="4" t="s">
        <v>95</v>
      </c>
      <c r="M152" s="4" t="s">
        <v>88</v>
      </c>
      <c r="N152" s="4" t="s">
        <v>61</v>
      </c>
      <c r="O152" s="4" t="s">
        <v>907</v>
      </c>
      <c r="P152" s="4" t="s">
        <v>900</v>
      </c>
      <c r="Q152" s="4" t="s">
        <v>51</v>
      </c>
      <c r="R152" s="4" t="s">
        <v>908</v>
      </c>
      <c r="S152" s="16" t="n">
        <f aca="false">IF(ISNUMBER(SEARCH("E0",$H152)),1,0)</f>
        <v>0</v>
      </c>
      <c r="T152" s="16" t="n">
        <f aca="false">IF(ISNUMBER(SEARCH("E1",$H152)),1,0)</f>
        <v>0</v>
      </c>
      <c r="U152" s="16" t="n">
        <f aca="false">IF(ISNUMBER(SEARCH("E2",$H152)),1,0)</f>
        <v>1</v>
      </c>
      <c r="V152" s="16" t="n">
        <f aca="false">IF(ISNUMBER(SEARCH("E3",$H152)),1,0)</f>
        <v>0</v>
      </c>
      <c r="W152" s="16" t="n">
        <f aca="false">IF(ISNUMBER(SEARCH("E4",$H152)),1,0)</f>
        <v>0</v>
      </c>
      <c r="X152" s="16" t="n">
        <f aca="false">IF(ISNUMBER(SEARCH("E5",$H152)),1,0)</f>
        <v>0</v>
      </c>
      <c r="Y152" s="16" t="n">
        <f aca="false">IF(ISNUMBER(SEARCH("E6",$H152)),1,0)</f>
        <v>0</v>
      </c>
      <c r="Z152" s="16" t="n">
        <f aca="false">IF(ISNUMBER(SEARCH("E7",$H152)),1,0)</f>
        <v>0</v>
      </c>
      <c r="AA152" s="16" t="n">
        <f aca="false">IF(ISNUMBER(SEARCH("E8",$H152)),1,0)</f>
        <v>0</v>
      </c>
      <c r="AB152" s="16" t="n">
        <f aca="false">IF(ISNUMBER(SEARCH("E9",$H152)),1,0)</f>
        <v>0</v>
      </c>
      <c r="AC152" s="16" t="n">
        <f aca="false">IF(ISNUMBER(SEARCH("TR",$H152)),1,0)</f>
        <v>0</v>
      </c>
      <c r="AD152" s="10" t="s">
        <v>574</v>
      </c>
      <c r="AE152" s="17" t="n">
        <f aca="false">IF(ISNUMBER(SEARCH("S0",$AD152)),1,0)</f>
        <v>0</v>
      </c>
      <c r="AF152" s="17" t="n">
        <f aca="false">IF(ISNUMBER(SEARCH("R01",$AD152)),1,0)</f>
        <v>0</v>
      </c>
      <c r="AG152" s="17" t="n">
        <f aca="false">IF(ISNUMBER(SEARCH("R02R03",$AD152)),1,0)</f>
        <v>1</v>
      </c>
      <c r="AH152" s="17" t="n">
        <f aca="false">IF(ISNUMBER(SEARCH("R04",$AD152)),1,0)</f>
        <v>0</v>
      </c>
      <c r="AI152" s="17" t="n">
        <f aca="false">IF(ISNUMBER(SEARCH("R05",$AD152)),1,0)</f>
        <v>0</v>
      </c>
      <c r="AJ152" s="17" t="n">
        <f aca="false">IF(ISNUMBER(SEARCH("S3R06",$AD152)),1,0)</f>
        <v>0</v>
      </c>
      <c r="AK152" s="17" t="n">
        <f aca="false">IF(ISNUMBER(SEARCH("R07",$AD152)),1,0)</f>
        <v>0</v>
      </c>
      <c r="AL152" s="17" t="n">
        <f aca="false">IF(ISNUMBER(SEARCH("R09",$AD152)),1,0)</f>
        <v>0</v>
      </c>
      <c r="AM152" s="17" t="n">
        <f aca="false">IF(ISNUMBER(SEARCH("R10",$AD152)),1,0)</f>
        <v>0</v>
      </c>
      <c r="AN152" s="17" t="n">
        <f aca="false">IF(ISNUMBER(SEARCH("S5",$AD152)),1,0)</f>
        <v>0</v>
      </c>
      <c r="AO152" s="17" t="n">
        <f aca="false">IF(ISNUMBER(SEARCH("S6",$AD152)),1,0)</f>
        <v>0</v>
      </c>
      <c r="AP152" s="17" t="n">
        <f aca="false">IF(ISNUMBER(SEARCH("TR",$AD152)),1,0)</f>
        <v>0</v>
      </c>
    </row>
    <row r="153" customFormat="false" ht="102" hidden="false" customHeight="true" outlineLevel="0" collapsed="false">
      <c r="A153" s="4" t="s">
        <v>909</v>
      </c>
      <c r="B153" s="4" t="s">
        <v>896</v>
      </c>
      <c r="C153" s="4" t="s">
        <v>897</v>
      </c>
      <c r="D153" s="4" t="s">
        <v>910</v>
      </c>
      <c r="E153" s="4" t="s">
        <v>44</v>
      </c>
      <c r="F153" s="4" t="s">
        <v>197</v>
      </c>
      <c r="G153" s="4" t="s">
        <v>76</v>
      </c>
      <c r="H153" s="4" t="s">
        <v>144</v>
      </c>
      <c r="I153" s="4" t="s">
        <v>111</v>
      </c>
      <c r="J153" s="4" t="s">
        <v>100</v>
      </c>
      <c r="K153" s="4" t="s">
        <v>198</v>
      </c>
      <c r="L153" s="4" t="s">
        <v>101</v>
      </c>
      <c r="M153" s="4" t="s">
        <v>88</v>
      </c>
      <c r="N153" s="4" t="s">
        <v>61</v>
      </c>
      <c r="O153" s="4" t="s">
        <v>911</v>
      </c>
      <c r="P153" s="4" t="s">
        <v>900</v>
      </c>
      <c r="Q153" s="4" t="s">
        <v>51</v>
      </c>
      <c r="R153" s="4" t="s">
        <v>912</v>
      </c>
      <c r="S153" s="16" t="n">
        <f aca="false">IF(ISNUMBER(SEARCH("E0",$H153)),1,0)</f>
        <v>0</v>
      </c>
      <c r="T153" s="16" t="n">
        <f aca="false">IF(ISNUMBER(SEARCH("E1",$H153)),1,0)</f>
        <v>0</v>
      </c>
      <c r="U153" s="16" t="n">
        <f aca="false">IF(ISNUMBER(SEARCH("E2",$H153)),1,0)</f>
        <v>1</v>
      </c>
      <c r="V153" s="16" t="n">
        <f aca="false">IF(ISNUMBER(SEARCH("E3",$H153)),1,0)</f>
        <v>0</v>
      </c>
      <c r="W153" s="16" t="n">
        <f aca="false">IF(ISNUMBER(SEARCH("E4",$H153)),1,0)</f>
        <v>0</v>
      </c>
      <c r="X153" s="16" t="n">
        <f aca="false">IF(ISNUMBER(SEARCH("E5",$H153)),1,0)</f>
        <v>0</v>
      </c>
      <c r="Y153" s="16" t="n">
        <f aca="false">IF(ISNUMBER(SEARCH("E6",$H153)),1,0)</f>
        <v>0</v>
      </c>
      <c r="Z153" s="16" t="n">
        <f aca="false">IF(ISNUMBER(SEARCH("E7",$H153)),1,0)</f>
        <v>0</v>
      </c>
      <c r="AA153" s="16" t="n">
        <f aca="false">IF(ISNUMBER(SEARCH("E8",$H153)),1,0)</f>
        <v>0</v>
      </c>
      <c r="AB153" s="16" t="n">
        <f aca="false">IF(ISNUMBER(SEARCH("E9",$H153)),1,0)</f>
        <v>0</v>
      </c>
      <c r="AC153" s="16" t="n">
        <f aca="false">IF(ISNUMBER(SEARCH("TR",$H153)),1,0)</f>
        <v>0</v>
      </c>
      <c r="AD153" s="10" t="s">
        <v>574</v>
      </c>
      <c r="AE153" s="17" t="n">
        <f aca="false">IF(ISNUMBER(SEARCH("S0",$AD153)),1,0)</f>
        <v>0</v>
      </c>
      <c r="AF153" s="17" t="n">
        <f aca="false">IF(ISNUMBER(SEARCH("R01",$AD153)),1,0)</f>
        <v>0</v>
      </c>
      <c r="AG153" s="17" t="n">
        <f aca="false">IF(ISNUMBER(SEARCH("R02R03",$AD153)),1,0)</f>
        <v>1</v>
      </c>
      <c r="AH153" s="17" t="n">
        <f aca="false">IF(ISNUMBER(SEARCH("R04",$AD153)),1,0)</f>
        <v>0</v>
      </c>
      <c r="AI153" s="17" t="n">
        <f aca="false">IF(ISNUMBER(SEARCH("R05",$AD153)),1,0)</f>
        <v>0</v>
      </c>
      <c r="AJ153" s="17" t="n">
        <f aca="false">IF(ISNUMBER(SEARCH("S3R06",$AD153)),1,0)</f>
        <v>0</v>
      </c>
      <c r="AK153" s="17" t="n">
        <f aca="false">IF(ISNUMBER(SEARCH("R07",$AD153)),1,0)</f>
        <v>0</v>
      </c>
      <c r="AL153" s="17" t="n">
        <f aca="false">IF(ISNUMBER(SEARCH("R09",$AD153)),1,0)</f>
        <v>0</v>
      </c>
      <c r="AM153" s="17" t="n">
        <f aca="false">IF(ISNUMBER(SEARCH("R10",$AD153)),1,0)</f>
        <v>0</v>
      </c>
      <c r="AN153" s="17" t="n">
        <f aca="false">IF(ISNUMBER(SEARCH("S5",$AD153)),1,0)</f>
        <v>0</v>
      </c>
      <c r="AO153" s="17" t="n">
        <f aca="false">IF(ISNUMBER(SEARCH("S6",$AD153)),1,0)</f>
        <v>0</v>
      </c>
      <c r="AP153" s="17" t="n">
        <f aca="false">IF(ISNUMBER(SEARCH("TR",$AD153)),1,0)</f>
        <v>0</v>
      </c>
    </row>
    <row r="154" customFormat="false" ht="102" hidden="false" customHeight="true" outlineLevel="0" collapsed="false">
      <c r="A154" s="4" t="s">
        <v>913</v>
      </c>
      <c r="B154" s="4" t="s">
        <v>896</v>
      </c>
      <c r="C154" s="4" t="s">
        <v>897</v>
      </c>
      <c r="D154" s="4" t="s">
        <v>914</v>
      </c>
      <c r="E154" s="4" t="s">
        <v>44</v>
      </c>
      <c r="F154" s="4" t="s">
        <v>197</v>
      </c>
      <c r="G154" s="4" t="s">
        <v>92</v>
      </c>
      <c r="H154" s="4" t="s">
        <v>144</v>
      </c>
      <c r="I154" s="4" t="s">
        <v>111</v>
      </c>
      <c r="J154" s="4" t="s">
        <v>100</v>
      </c>
      <c r="K154" s="4" t="s">
        <v>198</v>
      </c>
      <c r="L154" s="4" t="s">
        <v>95</v>
      </c>
      <c r="M154" s="4" t="s">
        <v>88</v>
      </c>
      <c r="N154" s="4" t="s">
        <v>61</v>
      </c>
      <c r="O154" s="4" t="s">
        <v>915</v>
      </c>
      <c r="P154" s="4" t="s">
        <v>900</v>
      </c>
      <c r="Q154" s="4" t="s">
        <v>51</v>
      </c>
      <c r="R154" s="4" t="s">
        <v>916</v>
      </c>
      <c r="S154" s="16" t="n">
        <f aca="false">IF(ISNUMBER(SEARCH("E0",$H154)),1,0)</f>
        <v>0</v>
      </c>
      <c r="T154" s="16" t="n">
        <f aca="false">IF(ISNUMBER(SEARCH("E1",$H154)),1,0)</f>
        <v>0</v>
      </c>
      <c r="U154" s="16" t="n">
        <f aca="false">IF(ISNUMBER(SEARCH("E2",$H154)),1,0)</f>
        <v>1</v>
      </c>
      <c r="V154" s="16" t="n">
        <f aca="false">IF(ISNUMBER(SEARCH("E3",$H154)),1,0)</f>
        <v>0</v>
      </c>
      <c r="W154" s="16" t="n">
        <f aca="false">IF(ISNUMBER(SEARCH("E4",$H154)),1,0)</f>
        <v>0</v>
      </c>
      <c r="X154" s="16" t="n">
        <f aca="false">IF(ISNUMBER(SEARCH("E5",$H154)),1,0)</f>
        <v>0</v>
      </c>
      <c r="Y154" s="16" t="n">
        <f aca="false">IF(ISNUMBER(SEARCH("E6",$H154)),1,0)</f>
        <v>0</v>
      </c>
      <c r="Z154" s="16" t="n">
        <f aca="false">IF(ISNUMBER(SEARCH("E7",$H154)),1,0)</f>
        <v>0</v>
      </c>
      <c r="AA154" s="16" t="n">
        <f aca="false">IF(ISNUMBER(SEARCH("E8",$H154)),1,0)</f>
        <v>0</v>
      </c>
      <c r="AB154" s="16" t="n">
        <f aca="false">IF(ISNUMBER(SEARCH("E9",$H154)),1,0)</f>
        <v>0</v>
      </c>
      <c r="AC154" s="16" t="n">
        <f aca="false">IF(ISNUMBER(SEARCH("TR",$H154)),1,0)</f>
        <v>0</v>
      </c>
      <c r="AD154" s="10" t="s">
        <v>574</v>
      </c>
      <c r="AE154" s="17" t="n">
        <f aca="false">IF(ISNUMBER(SEARCH("S0",$AD154)),1,0)</f>
        <v>0</v>
      </c>
      <c r="AF154" s="17" t="n">
        <f aca="false">IF(ISNUMBER(SEARCH("R01",$AD154)),1,0)</f>
        <v>0</v>
      </c>
      <c r="AG154" s="17" t="n">
        <f aca="false">IF(ISNUMBER(SEARCH("R02R03",$AD154)),1,0)</f>
        <v>1</v>
      </c>
      <c r="AH154" s="17" t="n">
        <f aca="false">IF(ISNUMBER(SEARCH("R04",$AD154)),1,0)</f>
        <v>0</v>
      </c>
      <c r="AI154" s="17" t="n">
        <f aca="false">IF(ISNUMBER(SEARCH("R05",$AD154)),1,0)</f>
        <v>0</v>
      </c>
      <c r="AJ154" s="17" t="n">
        <f aca="false">IF(ISNUMBER(SEARCH("S3R06",$AD154)),1,0)</f>
        <v>0</v>
      </c>
      <c r="AK154" s="17" t="n">
        <f aca="false">IF(ISNUMBER(SEARCH("R07",$AD154)),1,0)</f>
        <v>0</v>
      </c>
      <c r="AL154" s="17" t="n">
        <f aca="false">IF(ISNUMBER(SEARCH("R09",$AD154)),1,0)</f>
        <v>0</v>
      </c>
      <c r="AM154" s="17" t="n">
        <f aca="false">IF(ISNUMBER(SEARCH("R10",$AD154)),1,0)</f>
        <v>0</v>
      </c>
      <c r="AN154" s="17" t="n">
        <f aca="false">IF(ISNUMBER(SEARCH("S5",$AD154)),1,0)</f>
        <v>0</v>
      </c>
      <c r="AO154" s="17" t="n">
        <f aca="false">IF(ISNUMBER(SEARCH("S6",$AD154)),1,0)</f>
        <v>0</v>
      </c>
      <c r="AP154" s="17" t="n">
        <f aca="false">IF(ISNUMBER(SEARCH("TR",$AD154)),1,0)</f>
        <v>0</v>
      </c>
    </row>
    <row r="155" customFormat="false" ht="113.25" hidden="false" customHeight="true" outlineLevel="0" collapsed="false">
      <c r="A155" s="4" t="s">
        <v>917</v>
      </c>
      <c r="B155" s="4" t="s">
        <v>896</v>
      </c>
      <c r="C155" s="4" t="s">
        <v>897</v>
      </c>
      <c r="D155" s="4" t="s">
        <v>835</v>
      </c>
      <c r="E155" s="4" t="s">
        <v>44</v>
      </c>
      <c r="F155" s="4" t="s">
        <v>197</v>
      </c>
      <c r="G155" s="4" t="s">
        <v>105</v>
      </c>
      <c r="H155" s="4" t="s">
        <v>144</v>
      </c>
      <c r="I155" s="4" t="s">
        <v>111</v>
      </c>
      <c r="J155" s="4" t="s">
        <v>100</v>
      </c>
      <c r="K155" s="4" t="s">
        <v>198</v>
      </c>
      <c r="L155" s="4" t="s">
        <v>70</v>
      </c>
      <c r="M155" s="4" t="s">
        <v>88</v>
      </c>
      <c r="N155" s="4" t="s">
        <v>61</v>
      </c>
      <c r="O155" s="4" t="s">
        <v>918</v>
      </c>
      <c r="P155" s="4" t="s">
        <v>900</v>
      </c>
      <c r="Q155" s="4" t="s">
        <v>51</v>
      </c>
      <c r="R155" s="4" t="s">
        <v>919</v>
      </c>
      <c r="S155" s="16" t="n">
        <f aca="false">IF(ISNUMBER(SEARCH("E0",$H155)),1,0)</f>
        <v>0</v>
      </c>
      <c r="T155" s="16" t="n">
        <f aca="false">IF(ISNUMBER(SEARCH("E1",$H155)),1,0)</f>
        <v>0</v>
      </c>
      <c r="U155" s="16" t="n">
        <f aca="false">IF(ISNUMBER(SEARCH("E2",$H155)),1,0)</f>
        <v>1</v>
      </c>
      <c r="V155" s="16" t="n">
        <f aca="false">IF(ISNUMBER(SEARCH("E3",$H155)),1,0)</f>
        <v>0</v>
      </c>
      <c r="W155" s="16" t="n">
        <f aca="false">IF(ISNUMBER(SEARCH("E4",$H155)),1,0)</f>
        <v>0</v>
      </c>
      <c r="X155" s="16" t="n">
        <f aca="false">IF(ISNUMBER(SEARCH("E5",$H155)),1,0)</f>
        <v>0</v>
      </c>
      <c r="Y155" s="16" t="n">
        <f aca="false">IF(ISNUMBER(SEARCH("E6",$H155)),1,0)</f>
        <v>0</v>
      </c>
      <c r="Z155" s="16" t="n">
        <f aca="false">IF(ISNUMBER(SEARCH("E7",$H155)),1,0)</f>
        <v>0</v>
      </c>
      <c r="AA155" s="16" t="n">
        <f aca="false">IF(ISNUMBER(SEARCH("E8",$H155)),1,0)</f>
        <v>0</v>
      </c>
      <c r="AB155" s="16" t="n">
        <f aca="false">IF(ISNUMBER(SEARCH("E9",$H155)),1,0)</f>
        <v>0</v>
      </c>
      <c r="AC155" s="16" t="n">
        <f aca="false">IF(ISNUMBER(SEARCH("TR",$H155)),1,0)</f>
        <v>0</v>
      </c>
      <c r="AD155" s="10" t="s">
        <v>574</v>
      </c>
      <c r="AE155" s="17" t="n">
        <f aca="false">IF(ISNUMBER(SEARCH("S0",$AD155)),1,0)</f>
        <v>0</v>
      </c>
      <c r="AF155" s="17" t="n">
        <f aca="false">IF(ISNUMBER(SEARCH("R01",$AD155)),1,0)</f>
        <v>0</v>
      </c>
      <c r="AG155" s="17" t="n">
        <f aca="false">IF(ISNUMBER(SEARCH("R02R03",$AD155)),1,0)</f>
        <v>1</v>
      </c>
      <c r="AH155" s="17" t="n">
        <f aca="false">IF(ISNUMBER(SEARCH("R04",$AD155)),1,0)</f>
        <v>0</v>
      </c>
      <c r="AI155" s="17" t="n">
        <f aca="false">IF(ISNUMBER(SEARCH("R05",$AD155)),1,0)</f>
        <v>0</v>
      </c>
      <c r="AJ155" s="17" t="n">
        <f aca="false">IF(ISNUMBER(SEARCH("S3R06",$AD155)),1,0)</f>
        <v>0</v>
      </c>
      <c r="AK155" s="17" t="n">
        <f aca="false">IF(ISNUMBER(SEARCH("R07",$AD155)),1,0)</f>
        <v>0</v>
      </c>
      <c r="AL155" s="17" t="n">
        <f aca="false">IF(ISNUMBER(SEARCH("R09",$AD155)),1,0)</f>
        <v>0</v>
      </c>
      <c r="AM155" s="17" t="n">
        <f aca="false">IF(ISNUMBER(SEARCH("R10",$AD155)),1,0)</f>
        <v>0</v>
      </c>
      <c r="AN155" s="17" t="n">
        <f aca="false">IF(ISNUMBER(SEARCH("S5",$AD155)),1,0)</f>
        <v>0</v>
      </c>
      <c r="AO155" s="17" t="n">
        <f aca="false">IF(ISNUMBER(SEARCH("S6",$AD155)),1,0)</f>
        <v>0</v>
      </c>
      <c r="AP155" s="17" t="n">
        <f aca="false">IF(ISNUMBER(SEARCH("TR",$AD155)),1,0)</f>
        <v>0</v>
      </c>
    </row>
    <row r="156" customFormat="false" ht="102" hidden="false" customHeight="true" outlineLevel="0" collapsed="false">
      <c r="A156" s="4" t="s">
        <v>920</v>
      </c>
      <c r="B156" s="4" t="s">
        <v>896</v>
      </c>
      <c r="C156" s="4" t="s">
        <v>897</v>
      </c>
      <c r="D156" s="4" t="s">
        <v>921</v>
      </c>
      <c r="E156" s="4" t="s">
        <v>44</v>
      </c>
      <c r="F156" s="4" t="s">
        <v>197</v>
      </c>
      <c r="G156" s="4" t="s">
        <v>105</v>
      </c>
      <c r="H156" s="4" t="s">
        <v>144</v>
      </c>
      <c r="I156" s="4" t="s">
        <v>111</v>
      </c>
      <c r="J156" s="4" t="s">
        <v>100</v>
      </c>
      <c r="K156" s="4" t="s">
        <v>198</v>
      </c>
      <c r="L156" s="4" t="s">
        <v>70</v>
      </c>
      <c r="M156" s="4" t="s">
        <v>88</v>
      </c>
      <c r="N156" s="4" t="s">
        <v>61</v>
      </c>
      <c r="O156" s="4" t="s">
        <v>922</v>
      </c>
      <c r="P156" s="4" t="s">
        <v>900</v>
      </c>
      <c r="Q156" s="4" t="s">
        <v>51</v>
      </c>
      <c r="R156" s="4" t="s">
        <v>923</v>
      </c>
      <c r="S156" s="16" t="n">
        <f aca="false">IF(ISNUMBER(SEARCH("E0",$H156)),1,0)</f>
        <v>0</v>
      </c>
      <c r="T156" s="16" t="n">
        <f aca="false">IF(ISNUMBER(SEARCH("E1",$H156)),1,0)</f>
        <v>0</v>
      </c>
      <c r="U156" s="16" t="n">
        <f aca="false">IF(ISNUMBER(SEARCH("E2",$H156)),1,0)</f>
        <v>1</v>
      </c>
      <c r="V156" s="16" t="n">
        <f aca="false">IF(ISNUMBER(SEARCH("E3",$H156)),1,0)</f>
        <v>0</v>
      </c>
      <c r="W156" s="16" t="n">
        <f aca="false">IF(ISNUMBER(SEARCH("E4",$H156)),1,0)</f>
        <v>0</v>
      </c>
      <c r="X156" s="16" t="n">
        <f aca="false">IF(ISNUMBER(SEARCH("E5",$H156)),1,0)</f>
        <v>0</v>
      </c>
      <c r="Y156" s="16" t="n">
        <f aca="false">IF(ISNUMBER(SEARCH("E6",$H156)),1,0)</f>
        <v>0</v>
      </c>
      <c r="Z156" s="16" t="n">
        <f aca="false">IF(ISNUMBER(SEARCH("E7",$H156)),1,0)</f>
        <v>0</v>
      </c>
      <c r="AA156" s="16" t="n">
        <f aca="false">IF(ISNUMBER(SEARCH("E8",$H156)),1,0)</f>
        <v>0</v>
      </c>
      <c r="AB156" s="16" t="n">
        <f aca="false">IF(ISNUMBER(SEARCH("E9",$H156)),1,0)</f>
        <v>0</v>
      </c>
      <c r="AC156" s="16" t="n">
        <f aca="false">IF(ISNUMBER(SEARCH("TR",$H156)),1,0)</f>
        <v>0</v>
      </c>
      <c r="AD156" s="10" t="s">
        <v>574</v>
      </c>
      <c r="AE156" s="17" t="n">
        <f aca="false">IF(ISNUMBER(SEARCH("S0",$AD156)),1,0)</f>
        <v>0</v>
      </c>
      <c r="AF156" s="17" t="n">
        <f aca="false">IF(ISNUMBER(SEARCH("R01",$AD156)),1,0)</f>
        <v>0</v>
      </c>
      <c r="AG156" s="17" t="n">
        <f aca="false">IF(ISNUMBER(SEARCH("R02R03",$AD156)),1,0)</f>
        <v>1</v>
      </c>
      <c r="AH156" s="17" t="n">
        <f aca="false">IF(ISNUMBER(SEARCH("R04",$AD156)),1,0)</f>
        <v>0</v>
      </c>
      <c r="AI156" s="17" t="n">
        <f aca="false">IF(ISNUMBER(SEARCH("R05",$AD156)),1,0)</f>
        <v>0</v>
      </c>
      <c r="AJ156" s="17" t="n">
        <f aca="false">IF(ISNUMBER(SEARCH("S3R06",$AD156)),1,0)</f>
        <v>0</v>
      </c>
      <c r="AK156" s="17" t="n">
        <f aca="false">IF(ISNUMBER(SEARCH("R07",$AD156)),1,0)</f>
        <v>0</v>
      </c>
      <c r="AL156" s="17" t="n">
        <f aca="false">IF(ISNUMBER(SEARCH("R09",$AD156)),1,0)</f>
        <v>0</v>
      </c>
      <c r="AM156" s="17" t="n">
        <f aca="false">IF(ISNUMBER(SEARCH("R10",$AD156)),1,0)</f>
        <v>0</v>
      </c>
      <c r="AN156" s="17" t="n">
        <f aca="false">IF(ISNUMBER(SEARCH("S5",$AD156)),1,0)</f>
        <v>0</v>
      </c>
      <c r="AO156" s="17" t="n">
        <f aca="false">IF(ISNUMBER(SEARCH("S6",$AD156)),1,0)</f>
        <v>0</v>
      </c>
      <c r="AP156" s="17" t="n">
        <f aca="false">IF(ISNUMBER(SEARCH("TR",$AD156)),1,0)</f>
        <v>0</v>
      </c>
    </row>
    <row r="157" customFormat="false" ht="135.75" hidden="false" customHeight="true" outlineLevel="0" collapsed="false">
      <c r="A157" s="4" t="s">
        <v>924</v>
      </c>
      <c r="B157" s="4" t="s">
        <v>896</v>
      </c>
      <c r="C157" s="4" t="s">
        <v>897</v>
      </c>
      <c r="D157" s="4" t="s">
        <v>925</v>
      </c>
      <c r="E157" s="4" t="s">
        <v>44</v>
      </c>
      <c r="F157" s="4" t="s">
        <v>197</v>
      </c>
      <c r="G157" s="4" t="s">
        <v>76</v>
      </c>
      <c r="H157" s="4" t="s">
        <v>144</v>
      </c>
      <c r="I157" s="4" t="s">
        <v>111</v>
      </c>
      <c r="J157" s="4" t="s">
        <v>100</v>
      </c>
      <c r="K157" s="4" t="s">
        <v>926</v>
      </c>
      <c r="L157" s="4" t="s">
        <v>48</v>
      </c>
      <c r="M157" s="4" t="s">
        <v>88</v>
      </c>
      <c r="N157" s="4" t="s">
        <v>72</v>
      </c>
      <c r="O157" s="4" t="s">
        <v>927</v>
      </c>
      <c r="P157" s="4" t="s">
        <v>900</v>
      </c>
      <c r="Q157" s="4" t="s">
        <v>51</v>
      </c>
      <c r="R157" s="4" t="s">
        <v>928</v>
      </c>
      <c r="S157" s="16" t="n">
        <f aca="false">IF(ISNUMBER(SEARCH("E0",$H157)),1,0)</f>
        <v>0</v>
      </c>
      <c r="T157" s="16" t="n">
        <f aca="false">IF(ISNUMBER(SEARCH("E1",$H157)),1,0)</f>
        <v>0</v>
      </c>
      <c r="U157" s="16" t="n">
        <f aca="false">IF(ISNUMBER(SEARCH("E2",$H157)),1,0)</f>
        <v>1</v>
      </c>
      <c r="V157" s="16" t="n">
        <f aca="false">IF(ISNUMBER(SEARCH("E3",$H157)),1,0)</f>
        <v>0</v>
      </c>
      <c r="W157" s="16" t="n">
        <f aca="false">IF(ISNUMBER(SEARCH("E4",$H157)),1,0)</f>
        <v>0</v>
      </c>
      <c r="X157" s="16" t="n">
        <f aca="false">IF(ISNUMBER(SEARCH("E5",$H157)),1,0)</f>
        <v>0</v>
      </c>
      <c r="Y157" s="16" t="n">
        <f aca="false">IF(ISNUMBER(SEARCH("E6",$H157)),1,0)</f>
        <v>0</v>
      </c>
      <c r="Z157" s="16" t="n">
        <f aca="false">IF(ISNUMBER(SEARCH("E7",$H157)),1,0)</f>
        <v>0</v>
      </c>
      <c r="AA157" s="16" t="n">
        <f aca="false">IF(ISNUMBER(SEARCH("E8",$H157)),1,0)</f>
        <v>0</v>
      </c>
      <c r="AB157" s="16" t="n">
        <f aca="false">IF(ISNUMBER(SEARCH("E9",$H157)),1,0)</f>
        <v>0</v>
      </c>
      <c r="AC157" s="16" t="n">
        <f aca="false">IF(ISNUMBER(SEARCH("TR",$H157)),1,0)</f>
        <v>0</v>
      </c>
      <c r="AD157" s="10" t="s">
        <v>574</v>
      </c>
      <c r="AE157" s="17" t="n">
        <f aca="false">IF(ISNUMBER(SEARCH("S0",$AD157)),1,0)</f>
        <v>0</v>
      </c>
      <c r="AF157" s="17" t="n">
        <f aca="false">IF(ISNUMBER(SEARCH("R01",$AD157)),1,0)</f>
        <v>0</v>
      </c>
      <c r="AG157" s="17" t="n">
        <f aca="false">IF(ISNUMBER(SEARCH("R02R03",$AD157)),1,0)</f>
        <v>1</v>
      </c>
      <c r="AH157" s="17" t="n">
        <f aca="false">IF(ISNUMBER(SEARCH("R04",$AD157)),1,0)</f>
        <v>0</v>
      </c>
      <c r="AI157" s="17" t="n">
        <f aca="false">IF(ISNUMBER(SEARCH("R05",$AD157)),1,0)</f>
        <v>0</v>
      </c>
      <c r="AJ157" s="17" t="n">
        <f aca="false">IF(ISNUMBER(SEARCH("S3R06",$AD157)),1,0)</f>
        <v>0</v>
      </c>
      <c r="AK157" s="17" t="n">
        <f aca="false">IF(ISNUMBER(SEARCH("R07",$AD157)),1,0)</f>
        <v>0</v>
      </c>
      <c r="AL157" s="17" t="n">
        <f aca="false">IF(ISNUMBER(SEARCH("R09",$AD157)),1,0)</f>
        <v>0</v>
      </c>
      <c r="AM157" s="17" t="n">
        <f aca="false">IF(ISNUMBER(SEARCH("R10",$AD157)),1,0)</f>
        <v>0</v>
      </c>
      <c r="AN157" s="17" t="n">
        <f aca="false">IF(ISNUMBER(SEARCH("S5",$AD157)),1,0)</f>
        <v>0</v>
      </c>
      <c r="AO157" s="17" t="n">
        <f aca="false">IF(ISNUMBER(SEARCH("S6",$AD157)),1,0)</f>
        <v>0</v>
      </c>
      <c r="AP157" s="17" t="n">
        <f aca="false">IF(ISNUMBER(SEARCH("TR",$AD157)),1,0)</f>
        <v>0</v>
      </c>
    </row>
    <row r="158" customFormat="false" ht="90.75" hidden="false" customHeight="true" outlineLevel="0" collapsed="false">
      <c r="A158" s="4" t="s">
        <v>929</v>
      </c>
      <c r="B158" s="4" t="s">
        <v>896</v>
      </c>
      <c r="C158" s="4" t="s">
        <v>897</v>
      </c>
      <c r="D158" s="4" t="s">
        <v>930</v>
      </c>
      <c r="E158" s="4" t="s">
        <v>44</v>
      </c>
      <c r="F158" s="4" t="s">
        <v>197</v>
      </c>
      <c r="G158" s="4" t="s">
        <v>45</v>
      </c>
      <c r="H158" s="4" t="s">
        <v>161</v>
      </c>
      <c r="I158" s="4" t="s">
        <v>114</v>
      </c>
      <c r="J158" s="4" t="s">
        <v>100</v>
      </c>
      <c r="K158" s="4" t="s">
        <v>198</v>
      </c>
      <c r="L158" s="4" t="s">
        <v>95</v>
      </c>
      <c r="M158" s="4" t="s">
        <v>88</v>
      </c>
      <c r="N158" s="4" t="s">
        <v>72</v>
      </c>
      <c r="O158" s="4" t="s">
        <v>931</v>
      </c>
      <c r="P158" s="4" t="s">
        <v>900</v>
      </c>
      <c r="Q158" s="4" t="s">
        <v>51</v>
      </c>
      <c r="R158" s="4" t="s">
        <v>932</v>
      </c>
      <c r="S158" s="16" t="n">
        <f aca="false">IF(ISNUMBER(SEARCH("E0",$H158)),1,0)</f>
        <v>0</v>
      </c>
      <c r="T158" s="16" t="n">
        <f aca="false">IF(ISNUMBER(SEARCH("E1",$H158)),1,0)</f>
        <v>0</v>
      </c>
      <c r="U158" s="16" t="n">
        <f aca="false">IF(ISNUMBER(SEARCH("E2",$H158)),1,0)</f>
        <v>0</v>
      </c>
      <c r="V158" s="16" t="n">
        <f aca="false">IF(ISNUMBER(SEARCH("E3",$H158)),1,0)</f>
        <v>0</v>
      </c>
      <c r="W158" s="16" t="n">
        <f aca="false">IF(ISNUMBER(SEARCH("E4",$H158)),1,0)</f>
        <v>0</v>
      </c>
      <c r="X158" s="16" t="n">
        <f aca="false">IF(ISNUMBER(SEARCH("E5",$H158)),1,0)</f>
        <v>0</v>
      </c>
      <c r="Y158" s="16" t="n">
        <f aca="false">IF(ISNUMBER(SEARCH("E6",$H158)),1,0)</f>
        <v>0</v>
      </c>
      <c r="Z158" s="16" t="n">
        <f aca="false">IF(ISNUMBER(SEARCH("E7",$H158)),1,0)</f>
        <v>0</v>
      </c>
      <c r="AA158" s="16" t="n">
        <f aca="false">IF(ISNUMBER(SEARCH("E8",$H158)),1,0)</f>
        <v>0</v>
      </c>
      <c r="AB158" s="16" t="n">
        <f aca="false">IF(ISNUMBER(SEARCH("E9",$H158)),1,0)</f>
        <v>0</v>
      </c>
      <c r="AC158" s="16" t="n">
        <f aca="false">IF(ISNUMBER(SEARCH("TR",$H158)),1,0)</f>
        <v>1</v>
      </c>
      <c r="AD158" s="10" t="s">
        <v>161</v>
      </c>
      <c r="AE158" s="17" t="n">
        <f aca="false">IF(ISNUMBER(SEARCH("S0",$AD158)),1,0)</f>
        <v>0</v>
      </c>
      <c r="AF158" s="17" t="n">
        <f aca="false">IF(ISNUMBER(SEARCH("R01",$AD158)),1,0)</f>
        <v>0</v>
      </c>
      <c r="AG158" s="17" t="n">
        <f aca="false">IF(ISNUMBER(SEARCH("R02R03",$AD158)),1,0)</f>
        <v>0</v>
      </c>
      <c r="AH158" s="17" t="n">
        <f aca="false">IF(ISNUMBER(SEARCH("R04",$AD158)),1,0)</f>
        <v>0</v>
      </c>
      <c r="AI158" s="17" t="n">
        <f aca="false">IF(ISNUMBER(SEARCH("R05",$AD158)),1,0)</f>
        <v>0</v>
      </c>
      <c r="AJ158" s="17" t="n">
        <f aca="false">IF(ISNUMBER(SEARCH("S3R06",$AD158)),1,0)</f>
        <v>0</v>
      </c>
      <c r="AK158" s="17" t="n">
        <f aca="false">IF(ISNUMBER(SEARCH("R07",$AD158)),1,0)</f>
        <v>0</v>
      </c>
      <c r="AL158" s="17" t="n">
        <f aca="false">IF(ISNUMBER(SEARCH("R09",$AD158)),1,0)</f>
        <v>0</v>
      </c>
      <c r="AM158" s="17" t="n">
        <f aca="false">IF(ISNUMBER(SEARCH("R10",$AD158)),1,0)</f>
        <v>0</v>
      </c>
      <c r="AN158" s="17" t="n">
        <f aca="false">IF(ISNUMBER(SEARCH("S5",$AD158)),1,0)</f>
        <v>0</v>
      </c>
      <c r="AO158" s="17" t="n">
        <f aca="false">IF(ISNUMBER(SEARCH("S6",$AD158)),1,0)</f>
        <v>0</v>
      </c>
      <c r="AP158" s="17" t="n">
        <f aca="false">IF(ISNUMBER(SEARCH("TR",$AD158)),1,0)</f>
        <v>1</v>
      </c>
    </row>
    <row r="159" customFormat="false" ht="68.25" hidden="false" customHeight="true" outlineLevel="0" collapsed="false">
      <c r="A159" s="4" t="s">
        <v>933</v>
      </c>
      <c r="B159" s="4" t="s">
        <v>896</v>
      </c>
      <c r="C159" s="4" t="s">
        <v>897</v>
      </c>
      <c r="D159" s="4" t="s">
        <v>934</v>
      </c>
      <c r="E159" s="4" t="s">
        <v>44</v>
      </c>
      <c r="F159" s="4" t="s">
        <v>197</v>
      </c>
      <c r="G159" s="4" t="s">
        <v>67</v>
      </c>
      <c r="H159" s="4" t="s">
        <v>161</v>
      </c>
      <c r="I159" s="4" t="s">
        <v>114</v>
      </c>
      <c r="J159" s="4" t="s">
        <v>100</v>
      </c>
      <c r="K159" s="4" t="s">
        <v>935</v>
      </c>
      <c r="L159" s="4" t="s">
        <v>70</v>
      </c>
      <c r="M159" s="4" t="s">
        <v>88</v>
      </c>
      <c r="N159" s="4" t="s">
        <v>72</v>
      </c>
      <c r="O159" s="4" t="s">
        <v>936</v>
      </c>
      <c r="P159" s="4" t="s">
        <v>900</v>
      </c>
      <c r="Q159" s="4" t="s">
        <v>51</v>
      </c>
      <c r="R159" s="4" t="s">
        <v>937</v>
      </c>
      <c r="S159" s="16" t="n">
        <f aca="false">IF(ISNUMBER(SEARCH("E0",$H159)),1,0)</f>
        <v>0</v>
      </c>
      <c r="T159" s="16" t="n">
        <f aca="false">IF(ISNUMBER(SEARCH("E1",$H159)),1,0)</f>
        <v>0</v>
      </c>
      <c r="U159" s="16" t="n">
        <f aca="false">IF(ISNUMBER(SEARCH("E2",$H159)),1,0)</f>
        <v>0</v>
      </c>
      <c r="V159" s="16" t="n">
        <f aca="false">IF(ISNUMBER(SEARCH("E3",$H159)),1,0)</f>
        <v>0</v>
      </c>
      <c r="W159" s="16" t="n">
        <f aca="false">IF(ISNUMBER(SEARCH("E4",$H159)),1,0)</f>
        <v>0</v>
      </c>
      <c r="X159" s="16" t="n">
        <f aca="false">IF(ISNUMBER(SEARCH("E5",$H159)),1,0)</f>
        <v>0</v>
      </c>
      <c r="Y159" s="16" t="n">
        <f aca="false">IF(ISNUMBER(SEARCH("E6",$H159)),1,0)</f>
        <v>0</v>
      </c>
      <c r="Z159" s="16" t="n">
        <f aca="false">IF(ISNUMBER(SEARCH("E7",$H159)),1,0)</f>
        <v>0</v>
      </c>
      <c r="AA159" s="16" t="n">
        <f aca="false">IF(ISNUMBER(SEARCH("E8",$H159)),1,0)</f>
        <v>0</v>
      </c>
      <c r="AB159" s="16" t="n">
        <f aca="false">IF(ISNUMBER(SEARCH("E9",$H159)),1,0)</f>
        <v>0</v>
      </c>
      <c r="AC159" s="16" t="n">
        <f aca="false">IF(ISNUMBER(SEARCH("TR",$H159)),1,0)</f>
        <v>1</v>
      </c>
      <c r="AD159" s="10" t="s">
        <v>161</v>
      </c>
      <c r="AE159" s="17" t="n">
        <f aca="false">IF(ISNUMBER(SEARCH("S0",$AD159)),1,0)</f>
        <v>0</v>
      </c>
      <c r="AF159" s="17" t="n">
        <f aca="false">IF(ISNUMBER(SEARCH("R01",$AD159)),1,0)</f>
        <v>0</v>
      </c>
      <c r="AG159" s="17" t="n">
        <f aca="false">IF(ISNUMBER(SEARCH("R02R03",$AD159)),1,0)</f>
        <v>0</v>
      </c>
      <c r="AH159" s="17" t="n">
        <f aca="false">IF(ISNUMBER(SEARCH("R04",$AD159)),1,0)</f>
        <v>0</v>
      </c>
      <c r="AI159" s="17" t="n">
        <f aca="false">IF(ISNUMBER(SEARCH("R05",$AD159)),1,0)</f>
        <v>0</v>
      </c>
      <c r="AJ159" s="17" t="n">
        <f aca="false">IF(ISNUMBER(SEARCH("S3R06",$AD159)),1,0)</f>
        <v>0</v>
      </c>
      <c r="AK159" s="17" t="n">
        <f aca="false">IF(ISNUMBER(SEARCH("R07",$AD159)),1,0)</f>
        <v>0</v>
      </c>
      <c r="AL159" s="17" t="n">
        <f aca="false">IF(ISNUMBER(SEARCH("R09",$AD159)),1,0)</f>
        <v>0</v>
      </c>
      <c r="AM159" s="17" t="n">
        <f aca="false">IF(ISNUMBER(SEARCH("R10",$AD159)),1,0)</f>
        <v>0</v>
      </c>
      <c r="AN159" s="17" t="n">
        <f aca="false">IF(ISNUMBER(SEARCH("S5",$AD159)),1,0)</f>
        <v>0</v>
      </c>
      <c r="AO159" s="17" t="n">
        <f aca="false">IF(ISNUMBER(SEARCH("S6",$AD159)),1,0)</f>
        <v>0</v>
      </c>
      <c r="AP159" s="17" t="n">
        <f aca="false">IF(ISNUMBER(SEARCH("TR",$AD159)),1,0)</f>
        <v>1</v>
      </c>
    </row>
    <row r="160" customFormat="false" ht="247.5" hidden="false" customHeight="true" outlineLevel="0" collapsed="false">
      <c r="A160" s="4" t="s">
        <v>938</v>
      </c>
      <c r="B160" s="4" t="s">
        <v>939</v>
      </c>
      <c r="C160" s="4" t="s">
        <v>940</v>
      </c>
      <c r="D160" s="4" t="s">
        <v>941</v>
      </c>
      <c r="E160" s="4" t="s">
        <v>44</v>
      </c>
      <c r="F160" s="4" t="s">
        <v>942</v>
      </c>
      <c r="G160" s="4" t="s">
        <v>110</v>
      </c>
      <c r="H160" s="4" t="s">
        <v>161</v>
      </c>
      <c r="I160" s="4" t="s">
        <v>46</v>
      </c>
      <c r="J160" s="4" t="s">
        <v>47</v>
      </c>
      <c r="K160" s="4" t="s">
        <v>943</v>
      </c>
      <c r="L160" s="4" t="s">
        <v>48</v>
      </c>
      <c r="M160" s="4" t="s">
        <v>49</v>
      </c>
      <c r="N160" s="4" t="s">
        <v>50</v>
      </c>
      <c r="O160" s="4" t="s">
        <v>944</v>
      </c>
      <c r="P160" s="4" t="s">
        <v>945</v>
      </c>
      <c r="Q160" s="4" t="s">
        <v>51</v>
      </c>
      <c r="R160" s="4" t="s">
        <v>946</v>
      </c>
      <c r="S160" s="16" t="n">
        <f aca="false">IF(ISNUMBER(SEARCH("E0",$H160)),1,0)</f>
        <v>0</v>
      </c>
      <c r="T160" s="16" t="n">
        <f aca="false">IF(ISNUMBER(SEARCH("E1",$H160)),1,0)</f>
        <v>0</v>
      </c>
      <c r="U160" s="16" t="n">
        <f aca="false">IF(ISNUMBER(SEARCH("E2",$H160)),1,0)</f>
        <v>0</v>
      </c>
      <c r="V160" s="16" t="n">
        <f aca="false">IF(ISNUMBER(SEARCH("E3",$H160)),1,0)</f>
        <v>0</v>
      </c>
      <c r="W160" s="16" t="n">
        <f aca="false">IF(ISNUMBER(SEARCH("E4",$H160)),1,0)</f>
        <v>0</v>
      </c>
      <c r="X160" s="16" t="n">
        <f aca="false">IF(ISNUMBER(SEARCH("E5",$H160)),1,0)</f>
        <v>0</v>
      </c>
      <c r="Y160" s="16" t="n">
        <f aca="false">IF(ISNUMBER(SEARCH("E6",$H160)),1,0)</f>
        <v>0</v>
      </c>
      <c r="Z160" s="16" t="n">
        <f aca="false">IF(ISNUMBER(SEARCH("E7",$H160)),1,0)</f>
        <v>0</v>
      </c>
      <c r="AA160" s="16" t="n">
        <f aca="false">IF(ISNUMBER(SEARCH("E8",$H160)),1,0)</f>
        <v>0</v>
      </c>
      <c r="AB160" s="16" t="n">
        <f aca="false">IF(ISNUMBER(SEARCH("E9",$H160)),1,0)</f>
        <v>0</v>
      </c>
      <c r="AC160" s="16" t="n">
        <f aca="false">IF(ISNUMBER(SEARCH("TR",$H160)),1,0)</f>
        <v>1</v>
      </c>
      <c r="AD160" s="10" t="s">
        <v>161</v>
      </c>
      <c r="AE160" s="17" t="n">
        <f aca="false">IF(ISNUMBER(SEARCH("S0",$AD160)),1,0)</f>
        <v>0</v>
      </c>
      <c r="AF160" s="17" t="n">
        <f aca="false">IF(ISNUMBER(SEARCH("R01",$AD160)),1,0)</f>
        <v>0</v>
      </c>
      <c r="AG160" s="17" t="n">
        <f aca="false">IF(ISNUMBER(SEARCH("R02R03",$AD160)),1,0)</f>
        <v>0</v>
      </c>
      <c r="AH160" s="17" t="n">
        <f aca="false">IF(ISNUMBER(SEARCH("R04",$AD160)),1,0)</f>
        <v>0</v>
      </c>
      <c r="AI160" s="17" t="n">
        <f aca="false">IF(ISNUMBER(SEARCH("R05",$AD160)),1,0)</f>
        <v>0</v>
      </c>
      <c r="AJ160" s="17" t="n">
        <f aca="false">IF(ISNUMBER(SEARCH("S3R06",$AD160)),1,0)</f>
        <v>0</v>
      </c>
      <c r="AK160" s="17" t="n">
        <f aca="false">IF(ISNUMBER(SEARCH("R07",$AD160)),1,0)</f>
        <v>0</v>
      </c>
      <c r="AL160" s="17" t="n">
        <f aca="false">IF(ISNUMBER(SEARCH("R09",$AD160)),1,0)</f>
        <v>0</v>
      </c>
      <c r="AM160" s="17" t="n">
        <f aca="false">IF(ISNUMBER(SEARCH("R10",$AD160)),1,0)</f>
        <v>0</v>
      </c>
      <c r="AN160" s="17" t="n">
        <f aca="false">IF(ISNUMBER(SEARCH("S5",$AD160)),1,0)</f>
        <v>0</v>
      </c>
      <c r="AO160" s="17" t="n">
        <f aca="false">IF(ISNUMBER(SEARCH("S6",$AD160)),1,0)</f>
        <v>0</v>
      </c>
      <c r="AP160" s="17" t="n">
        <f aca="false">IF(ISNUMBER(SEARCH("TR",$AD160)),1,0)</f>
        <v>1</v>
      </c>
    </row>
    <row r="161" customFormat="false" ht="113.25" hidden="false" customHeight="true" outlineLevel="0" collapsed="false">
      <c r="A161" s="4" t="s">
        <v>947</v>
      </c>
      <c r="B161" s="4" t="s">
        <v>939</v>
      </c>
      <c r="C161" s="4" t="s">
        <v>940</v>
      </c>
      <c r="D161" s="4" t="s">
        <v>948</v>
      </c>
      <c r="E161" s="4" t="s">
        <v>44</v>
      </c>
      <c r="F161" s="4" t="s">
        <v>197</v>
      </c>
      <c r="G161" s="4" t="s">
        <v>67</v>
      </c>
      <c r="H161" s="4" t="s">
        <v>161</v>
      </c>
      <c r="I161" s="4" t="s">
        <v>93</v>
      </c>
      <c r="J161" s="4" t="s">
        <v>86</v>
      </c>
      <c r="K161" s="4" t="s">
        <v>198</v>
      </c>
      <c r="L161" s="4" t="s">
        <v>101</v>
      </c>
      <c r="M161" s="4" t="s">
        <v>49</v>
      </c>
      <c r="N161" s="4" t="s">
        <v>72</v>
      </c>
      <c r="O161" s="4" t="s">
        <v>949</v>
      </c>
      <c r="P161" s="4" t="s">
        <v>945</v>
      </c>
      <c r="Q161" s="4" t="s">
        <v>51</v>
      </c>
      <c r="R161" s="4" t="s">
        <v>950</v>
      </c>
      <c r="S161" s="16" t="n">
        <f aca="false">IF(ISNUMBER(SEARCH("E0",$H161)),1,0)</f>
        <v>0</v>
      </c>
      <c r="T161" s="16" t="n">
        <f aca="false">IF(ISNUMBER(SEARCH("E1",$H161)),1,0)</f>
        <v>0</v>
      </c>
      <c r="U161" s="16" t="n">
        <f aca="false">IF(ISNUMBER(SEARCH("E2",$H161)),1,0)</f>
        <v>0</v>
      </c>
      <c r="V161" s="16" t="n">
        <f aca="false">IF(ISNUMBER(SEARCH("E3",$H161)),1,0)</f>
        <v>0</v>
      </c>
      <c r="W161" s="16" t="n">
        <f aca="false">IF(ISNUMBER(SEARCH("E4",$H161)),1,0)</f>
        <v>0</v>
      </c>
      <c r="X161" s="16" t="n">
        <f aca="false">IF(ISNUMBER(SEARCH("E5",$H161)),1,0)</f>
        <v>0</v>
      </c>
      <c r="Y161" s="16" t="n">
        <f aca="false">IF(ISNUMBER(SEARCH("E6",$H161)),1,0)</f>
        <v>0</v>
      </c>
      <c r="Z161" s="16" t="n">
        <f aca="false">IF(ISNUMBER(SEARCH("E7",$H161)),1,0)</f>
        <v>0</v>
      </c>
      <c r="AA161" s="16" t="n">
        <f aca="false">IF(ISNUMBER(SEARCH("E8",$H161)),1,0)</f>
        <v>0</v>
      </c>
      <c r="AB161" s="16" t="n">
        <f aca="false">IF(ISNUMBER(SEARCH("E9",$H161)),1,0)</f>
        <v>0</v>
      </c>
      <c r="AC161" s="16" t="n">
        <f aca="false">IF(ISNUMBER(SEARCH("TR",$H161)),1,0)</f>
        <v>1</v>
      </c>
      <c r="AD161" s="10" t="s">
        <v>161</v>
      </c>
      <c r="AE161" s="17" t="n">
        <f aca="false">IF(ISNUMBER(SEARCH("S0",$AD161)),1,0)</f>
        <v>0</v>
      </c>
      <c r="AF161" s="17" t="n">
        <f aca="false">IF(ISNUMBER(SEARCH("R01",$AD161)),1,0)</f>
        <v>0</v>
      </c>
      <c r="AG161" s="17" t="n">
        <f aca="false">IF(ISNUMBER(SEARCH("R02R03",$AD161)),1,0)</f>
        <v>0</v>
      </c>
      <c r="AH161" s="17" t="n">
        <f aca="false">IF(ISNUMBER(SEARCH("R04",$AD161)),1,0)</f>
        <v>0</v>
      </c>
      <c r="AI161" s="17" t="n">
        <f aca="false">IF(ISNUMBER(SEARCH("R05",$AD161)),1,0)</f>
        <v>0</v>
      </c>
      <c r="AJ161" s="17" t="n">
        <f aca="false">IF(ISNUMBER(SEARCH("S3R06",$AD161)),1,0)</f>
        <v>0</v>
      </c>
      <c r="AK161" s="17" t="n">
        <f aca="false">IF(ISNUMBER(SEARCH("R07",$AD161)),1,0)</f>
        <v>0</v>
      </c>
      <c r="AL161" s="17" t="n">
        <f aca="false">IF(ISNUMBER(SEARCH("R09",$AD161)),1,0)</f>
        <v>0</v>
      </c>
      <c r="AM161" s="17" t="n">
        <f aca="false">IF(ISNUMBER(SEARCH("R10",$AD161)),1,0)</f>
        <v>0</v>
      </c>
      <c r="AN161" s="17" t="n">
        <f aca="false">IF(ISNUMBER(SEARCH("S5",$AD161)),1,0)</f>
        <v>0</v>
      </c>
      <c r="AO161" s="17" t="n">
        <f aca="false">IF(ISNUMBER(SEARCH("S6",$AD161)),1,0)</f>
        <v>0</v>
      </c>
      <c r="AP161" s="17" t="n">
        <f aca="false">IF(ISNUMBER(SEARCH("TR",$AD161)),1,0)</f>
        <v>1</v>
      </c>
    </row>
    <row r="162" customFormat="false" ht="113.25" hidden="false" customHeight="true" outlineLevel="0" collapsed="false">
      <c r="A162" s="4" t="s">
        <v>951</v>
      </c>
      <c r="B162" s="4" t="s">
        <v>952</v>
      </c>
      <c r="C162" s="4" t="s">
        <v>953</v>
      </c>
      <c r="D162" s="4" t="s">
        <v>954</v>
      </c>
      <c r="E162" s="4" t="s">
        <v>66</v>
      </c>
      <c r="F162" s="4" t="s">
        <v>197</v>
      </c>
      <c r="G162" s="4" t="s">
        <v>110</v>
      </c>
      <c r="H162" s="4" t="s">
        <v>955</v>
      </c>
      <c r="I162" s="4" t="s">
        <v>46</v>
      </c>
      <c r="J162" s="4" t="s">
        <v>78</v>
      </c>
      <c r="K162" s="4" t="s">
        <v>198</v>
      </c>
      <c r="L162" s="4" t="s">
        <v>48</v>
      </c>
      <c r="M162" s="4" t="s">
        <v>49</v>
      </c>
      <c r="N162" s="4" t="s">
        <v>61</v>
      </c>
      <c r="O162" s="4" t="s">
        <v>956</v>
      </c>
      <c r="P162" s="4" t="s">
        <v>957</v>
      </c>
      <c r="Q162" s="4" t="s">
        <v>51</v>
      </c>
      <c r="R162" s="4" t="s">
        <v>958</v>
      </c>
      <c r="S162" s="16" t="n">
        <f aca="false">IF(ISNUMBER(SEARCH("E0",$H162)),1,0)</f>
        <v>1</v>
      </c>
      <c r="T162" s="16" t="n">
        <f aca="false">IF(ISNUMBER(SEARCH("E1",$H162)),1,0)</f>
        <v>1</v>
      </c>
      <c r="U162" s="16" t="n">
        <f aca="false">IF(ISNUMBER(SEARCH("E2",$H162)),1,0)</f>
        <v>0</v>
      </c>
      <c r="V162" s="16" t="n">
        <f aca="false">IF(ISNUMBER(SEARCH("E3",$H162)),1,0)</f>
        <v>0</v>
      </c>
      <c r="W162" s="16" t="n">
        <f aca="false">IF(ISNUMBER(SEARCH("E4",$H162)),1,0)</f>
        <v>0</v>
      </c>
      <c r="X162" s="16" t="n">
        <f aca="false">IF(ISNUMBER(SEARCH("E5",$H162)),1,0)</f>
        <v>0</v>
      </c>
      <c r="Y162" s="16" t="n">
        <f aca="false">IF(ISNUMBER(SEARCH("E6",$H162)),1,0)</f>
        <v>0</v>
      </c>
      <c r="Z162" s="16" t="n">
        <f aca="false">IF(ISNUMBER(SEARCH("E7",$H162)),1,0)</f>
        <v>0</v>
      </c>
      <c r="AA162" s="16" t="n">
        <f aca="false">IF(ISNUMBER(SEARCH("E8",$H162)),1,0)</f>
        <v>0</v>
      </c>
      <c r="AB162" s="16" t="n">
        <f aca="false">IF(ISNUMBER(SEARCH("E9",$H162)),1,0)</f>
        <v>0</v>
      </c>
      <c r="AC162" s="16" t="n">
        <f aca="false">IF(ISNUMBER(SEARCH("TR",$H162)),1,0)</f>
        <v>0</v>
      </c>
      <c r="AD162" s="10" t="s">
        <v>959</v>
      </c>
      <c r="AE162" s="17" t="n">
        <f aca="false">IF(ISNUMBER(SEARCH("S0",$AD162)),1,0)</f>
        <v>1</v>
      </c>
      <c r="AF162" s="17" t="n">
        <f aca="false">IF(ISNUMBER(SEARCH("R01",$AD162)),1,0)</f>
        <v>1</v>
      </c>
      <c r="AG162" s="17" t="n">
        <f aca="false">IF(ISNUMBER(SEARCH("R02R03",$AD162)),1,0)</f>
        <v>0</v>
      </c>
      <c r="AH162" s="17" t="n">
        <f aca="false">IF(ISNUMBER(SEARCH("R04",$AD162)),1,0)</f>
        <v>0</v>
      </c>
      <c r="AI162" s="17" t="n">
        <f aca="false">IF(ISNUMBER(SEARCH("R05",$AD162)),1,0)</f>
        <v>0</v>
      </c>
      <c r="AJ162" s="17" t="n">
        <f aca="false">IF(ISNUMBER(SEARCH("S3R06",$AD162)),1,0)</f>
        <v>0</v>
      </c>
      <c r="AK162" s="17" t="n">
        <f aca="false">IF(ISNUMBER(SEARCH("R07",$AD162)),1,0)</f>
        <v>0</v>
      </c>
      <c r="AL162" s="17" t="n">
        <f aca="false">IF(ISNUMBER(SEARCH("R09",$AD162)),1,0)</f>
        <v>0</v>
      </c>
      <c r="AM162" s="17" t="n">
        <f aca="false">IF(ISNUMBER(SEARCH("R10",$AD162)),1,0)</f>
        <v>0</v>
      </c>
      <c r="AN162" s="17" t="n">
        <f aca="false">IF(ISNUMBER(SEARCH("S5",$AD162)),1,0)</f>
        <v>0</v>
      </c>
      <c r="AO162" s="17" t="n">
        <f aca="false">IF(ISNUMBER(SEARCH("S6",$AD162)),1,0)</f>
        <v>0</v>
      </c>
      <c r="AP162" s="17" t="n">
        <f aca="false">IF(ISNUMBER(SEARCH("TR",$AD162)),1,0)</f>
        <v>0</v>
      </c>
    </row>
    <row r="163" customFormat="false" ht="79.5" hidden="false" customHeight="true" outlineLevel="0" collapsed="false">
      <c r="A163" s="4" t="s">
        <v>960</v>
      </c>
      <c r="B163" s="4" t="s">
        <v>952</v>
      </c>
      <c r="C163" s="4" t="s">
        <v>953</v>
      </c>
      <c r="D163" s="4" t="s">
        <v>961</v>
      </c>
      <c r="E163" s="4" t="s">
        <v>66</v>
      </c>
      <c r="F163" s="4" t="s">
        <v>197</v>
      </c>
      <c r="G163" s="4" t="s">
        <v>76</v>
      </c>
      <c r="H163" s="4" t="s">
        <v>161</v>
      </c>
      <c r="I163" s="4" t="s">
        <v>93</v>
      </c>
      <c r="J163" s="4" t="s">
        <v>78</v>
      </c>
      <c r="K163" s="4" t="s">
        <v>198</v>
      </c>
      <c r="L163" s="4" t="s">
        <v>48</v>
      </c>
      <c r="M163" s="4" t="s">
        <v>49</v>
      </c>
      <c r="N163" s="4" t="s">
        <v>61</v>
      </c>
      <c r="O163" s="4" t="s">
        <v>962</v>
      </c>
      <c r="P163" s="4" t="s">
        <v>957</v>
      </c>
      <c r="Q163" s="4" t="s">
        <v>51</v>
      </c>
      <c r="R163" s="4" t="s">
        <v>963</v>
      </c>
      <c r="S163" s="16" t="n">
        <f aca="false">IF(ISNUMBER(SEARCH("E0",$H163)),1,0)</f>
        <v>0</v>
      </c>
      <c r="T163" s="16" t="n">
        <f aca="false">IF(ISNUMBER(SEARCH("E1",$H163)),1,0)</f>
        <v>0</v>
      </c>
      <c r="U163" s="16" t="n">
        <f aca="false">IF(ISNUMBER(SEARCH("E2",$H163)),1,0)</f>
        <v>0</v>
      </c>
      <c r="V163" s="16" t="n">
        <f aca="false">IF(ISNUMBER(SEARCH("E3",$H163)),1,0)</f>
        <v>0</v>
      </c>
      <c r="W163" s="16" t="n">
        <f aca="false">IF(ISNUMBER(SEARCH("E4",$H163)),1,0)</f>
        <v>0</v>
      </c>
      <c r="X163" s="16" t="n">
        <f aca="false">IF(ISNUMBER(SEARCH("E5",$H163)),1,0)</f>
        <v>0</v>
      </c>
      <c r="Y163" s="16" t="n">
        <f aca="false">IF(ISNUMBER(SEARCH("E6",$H163)),1,0)</f>
        <v>0</v>
      </c>
      <c r="Z163" s="16" t="n">
        <f aca="false">IF(ISNUMBER(SEARCH("E7",$H163)),1,0)</f>
        <v>0</v>
      </c>
      <c r="AA163" s="16" t="n">
        <f aca="false">IF(ISNUMBER(SEARCH("E8",$H163)),1,0)</f>
        <v>0</v>
      </c>
      <c r="AB163" s="16" t="n">
        <f aca="false">IF(ISNUMBER(SEARCH("E9",$H163)),1,0)</f>
        <v>0</v>
      </c>
      <c r="AC163" s="16" t="n">
        <f aca="false">IF(ISNUMBER(SEARCH("TR",$H163)),1,0)</f>
        <v>1</v>
      </c>
      <c r="AD163" s="10" t="s">
        <v>161</v>
      </c>
      <c r="AE163" s="17" t="n">
        <f aca="false">IF(ISNUMBER(SEARCH("S0",$AD163)),1,0)</f>
        <v>0</v>
      </c>
      <c r="AF163" s="17" t="n">
        <f aca="false">IF(ISNUMBER(SEARCH("R01",$AD163)),1,0)</f>
        <v>0</v>
      </c>
      <c r="AG163" s="17" t="n">
        <f aca="false">IF(ISNUMBER(SEARCH("R02R03",$AD163)),1,0)</f>
        <v>0</v>
      </c>
      <c r="AH163" s="17" t="n">
        <f aca="false">IF(ISNUMBER(SEARCH("R04",$AD163)),1,0)</f>
        <v>0</v>
      </c>
      <c r="AI163" s="17" t="n">
        <f aca="false">IF(ISNUMBER(SEARCH("R05",$AD163)),1,0)</f>
        <v>0</v>
      </c>
      <c r="AJ163" s="17" t="n">
        <f aca="false">IF(ISNUMBER(SEARCH("S3R06",$AD163)),1,0)</f>
        <v>0</v>
      </c>
      <c r="AK163" s="17" t="n">
        <f aca="false">IF(ISNUMBER(SEARCH("R07",$AD163)),1,0)</f>
        <v>0</v>
      </c>
      <c r="AL163" s="17" t="n">
        <f aca="false">IF(ISNUMBER(SEARCH("R09",$AD163)),1,0)</f>
        <v>0</v>
      </c>
      <c r="AM163" s="17" t="n">
        <f aca="false">IF(ISNUMBER(SEARCH("R10",$AD163)),1,0)</f>
        <v>0</v>
      </c>
      <c r="AN163" s="17" t="n">
        <f aca="false">IF(ISNUMBER(SEARCH("S5",$AD163)),1,0)</f>
        <v>0</v>
      </c>
      <c r="AO163" s="17" t="n">
        <f aca="false">IF(ISNUMBER(SEARCH("S6",$AD163)),1,0)</f>
        <v>0</v>
      </c>
      <c r="AP163" s="17" t="n">
        <f aca="false">IF(ISNUMBER(SEARCH("TR",$AD163)),1,0)</f>
        <v>1</v>
      </c>
    </row>
    <row r="164" customFormat="false" ht="79.5" hidden="false" customHeight="true" outlineLevel="0" collapsed="false">
      <c r="A164" s="4" t="s">
        <v>964</v>
      </c>
      <c r="B164" s="4" t="s">
        <v>952</v>
      </c>
      <c r="C164" s="4" t="s">
        <v>953</v>
      </c>
      <c r="D164" s="4" t="s">
        <v>965</v>
      </c>
      <c r="E164" s="4" t="s">
        <v>66</v>
      </c>
      <c r="F164" s="4" t="s">
        <v>197</v>
      </c>
      <c r="G164" s="4" t="s">
        <v>76</v>
      </c>
      <c r="H164" s="4" t="s">
        <v>161</v>
      </c>
      <c r="I164" s="4" t="s">
        <v>93</v>
      </c>
      <c r="J164" s="4" t="s">
        <v>78</v>
      </c>
      <c r="K164" s="4" t="s">
        <v>198</v>
      </c>
      <c r="L164" s="4" t="s">
        <v>48</v>
      </c>
      <c r="M164" s="4" t="s">
        <v>49</v>
      </c>
      <c r="N164" s="4" t="s">
        <v>61</v>
      </c>
      <c r="O164" s="4" t="s">
        <v>966</v>
      </c>
      <c r="P164" s="4" t="s">
        <v>957</v>
      </c>
      <c r="Q164" s="4" t="s">
        <v>51</v>
      </c>
      <c r="R164" s="4" t="s">
        <v>967</v>
      </c>
      <c r="S164" s="16" t="n">
        <f aca="false">IF(ISNUMBER(SEARCH("E0",$H164)),1,0)</f>
        <v>0</v>
      </c>
      <c r="T164" s="16" t="n">
        <f aca="false">IF(ISNUMBER(SEARCH("E1",$H164)),1,0)</f>
        <v>0</v>
      </c>
      <c r="U164" s="16" t="n">
        <f aca="false">IF(ISNUMBER(SEARCH("E2",$H164)),1,0)</f>
        <v>0</v>
      </c>
      <c r="V164" s="16" t="n">
        <f aca="false">IF(ISNUMBER(SEARCH("E3",$H164)),1,0)</f>
        <v>0</v>
      </c>
      <c r="W164" s="16" t="n">
        <f aca="false">IF(ISNUMBER(SEARCH("E4",$H164)),1,0)</f>
        <v>0</v>
      </c>
      <c r="X164" s="16" t="n">
        <f aca="false">IF(ISNUMBER(SEARCH("E5",$H164)),1,0)</f>
        <v>0</v>
      </c>
      <c r="Y164" s="16" t="n">
        <f aca="false">IF(ISNUMBER(SEARCH("E6",$H164)),1,0)</f>
        <v>0</v>
      </c>
      <c r="Z164" s="16" t="n">
        <f aca="false">IF(ISNUMBER(SEARCH("E7",$H164)),1,0)</f>
        <v>0</v>
      </c>
      <c r="AA164" s="16" t="n">
        <f aca="false">IF(ISNUMBER(SEARCH("E8",$H164)),1,0)</f>
        <v>0</v>
      </c>
      <c r="AB164" s="16" t="n">
        <f aca="false">IF(ISNUMBER(SEARCH("E9",$H164)),1,0)</f>
        <v>0</v>
      </c>
      <c r="AC164" s="16" t="n">
        <f aca="false">IF(ISNUMBER(SEARCH("TR",$H164)),1,0)</f>
        <v>1</v>
      </c>
      <c r="AD164" s="10" t="s">
        <v>161</v>
      </c>
      <c r="AE164" s="17" t="n">
        <f aca="false">IF(ISNUMBER(SEARCH("S0",$AD164)),1,0)</f>
        <v>0</v>
      </c>
      <c r="AF164" s="17" t="n">
        <f aca="false">IF(ISNUMBER(SEARCH("R01",$AD164)),1,0)</f>
        <v>0</v>
      </c>
      <c r="AG164" s="17" t="n">
        <f aca="false">IF(ISNUMBER(SEARCH("R02R03",$AD164)),1,0)</f>
        <v>0</v>
      </c>
      <c r="AH164" s="17" t="n">
        <f aca="false">IF(ISNUMBER(SEARCH("R04",$AD164)),1,0)</f>
        <v>0</v>
      </c>
      <c r="AI164" s="17" t="n">
        <f aca="false">IF(ISNUMBER(SEARCH("R05",$AD164)),1,0)</f>
        <v>0</v>
      </c>
      <c r="AJ164" s="17" t="n">
        <f aca="false">IF(ISNUMBER(SEARCH("S3R06",$AD164)),1,0)</f>
        <v>0</v>
      </c>
      <c r="AK164" s="17" t="n">
        <f aca="false">IF(ISNUMBER(SEARCH("R07",$AD164)),1,0)</f>
        <v>0</v>
      </c>
      <c r="AL164" s="17" t="n">
        <f aca="false">IF(ISNUMBER(SEARCH("R09",$AD164)),1,0)</f>
        <v>0</v>
      </c>
      <c r="AM164" s="17" t="n">
        <f aca="false">IF(ISNUMBER(SEARCH("R10",$AD164)),1,0)</f>
        <v>0</v>
      </c>
      <c r="AN164" s="17" t="n">
        <f aca="false">IF(ISNUMBER(SEARCH("S5",$AD164)),1,0)</f>
        <v>0</v>
      </c>
      <c r="AO164" s="17" t="n">
        <f aca="false">IF(ISNUMBER(SEARCH("S6",$AD164)),1,0)</f>
        <v>0</v>
      </c>
      <c r="AP164" s="17" t="n">
        <f aca="false">IF(ISNUMBER(SEARCH("TR",$AD164)),1,0)</f>
        <v>1</v>
      </c>
    </row>
    <row r="165" customFormat="false" ht="90.75" hidden="false" customHeight="true" outlineLevel="0" collapsed="false">
      <c r="A165" s="4" t="s">
        <v>968</v>
      </c>
      <c r="B165" s="4" t="s">
        <v>952</v>
      </c>
      <c r="C165" s="4" t="s">
        <v>953</v>
      </c>
      <c r="D165" s="4" t="s">
        <v>969</v>
      </c>
      <c r="E165" s="4" t="s">
        <v>66</v>
      </c>
      <c r="F165" s="4" t="s">
        <v>197</v>
      </c>
      <c r="G165" s="4" t="s">
        <v>110</v>
      </c>
      <c r="H165" s="4" t="s">
        <v>161</v>
      </c>
      <c r="I165" s="4" t="s">
        <v>93</v>
      </c>
      <c r="J165" s="4" t="s">
        <v>78</v>
      </c>
      <c r="K165" s="4" t="s">
        <v>198</v>
      </c>
      <c r="L165" s="4" t="s">
        <v>48</v>
      </c>
      <c r="M165" s="4" t="s">
        <v>49</v>
      </c>
      <c r="N165" s="4" t="s">
        <v>61</v>
      </c>
      <c r="O165" s="4" t="s">
        <v>970</v>
      </c>
      <c r="P165" s="4" t="s">
        <v>957</v>
      </c>
      <c r="Q165" s="4" t="s">
        <v>51</v>
      </c>
      <c r="R165" s="4" t="s">
        <v>971</v>
      </c>
      <c r="S165" s="16" t="n">
        <f aca="false">IF(ISNUMBER(SEARCH("E0",$H165)),1,0)</f>
        <v>0</v>
      </c>
      <c r="T165" s="16" t="n">
        <f aca="false">IF(ISNUMBER(SEARCH("E1",$H165)),1,0)</f>
        <v>0</v>
      </c>
      <c r="U165" s="16" t="n">
        <f aca="false">IF(ISNUMBER(SEARCH("E2",$H165)),1,0)</f>
        <v>0</v>
      </c>
      <c r="V165" s="16" t="n">
        <f aca="false">IF(ISNUMBER(SEARCH("E3",$H165)),1,0)</f>
        <v>0</v>
      </c>
      <c r="W165" s="16" t="n">
        <f aca="false">IF(ISNUMBER(SEARCH("E4",$H165)),1,0)</f>
        <v>0</v>
      </c>
      <c r="X165" s="16" t="n">
        <f aca="false">IF(ISNUMBER(SEARCH("E5",$H165)),1,0)</f>
        <v>0</v>
      </c>
      <c r="Y165" s="16" t="n">
        <f aca="false">IF(ISNUMBER(SEARCH("E6",$H165)),1,0)</f>
        <v>0</v>
      </c>
      <c r="Z165" s="16" t="n">
        <f aca="false">IF(ISNUMBER(SEARCH("E7",$H165)),1,0)</f>
        <v>0</v>
      </c>
      <c r="AA165" s="16" t="n">
        <f aca="false">IF(ISNUMBER(SEARCH("E8",$H165)),1,0)</f>
        <v>0</v>
      </c>
      <c r="AB165" s="16" t="n">
        <f aca="false">IF(ISNUMBER(SEARCH("E9",$H165)),1,0)</f>
        <v>0</v>
      </c>
      <c r="AC165" s="16" t="n">
        <f aca="false">IF(ISNUMBER(SEARCH("TR",$H165)),1,0)</f>
        <v>1</v>
      </c>
      <c r="AD165" s="10" t="s">
        <v>161</v>
      </c>
      <c r="AE165" s="17" t="n">
        <f aca="false">IF(ISNUMBER(SEARCH("S0",$AD165)),1,0)</f>
        <v>0</v>
      </c>
      <c r="AF165" s="17" t="n">
        <f aca="false">IF(ISNUMBER(SEARCH("R01",$AD165)),1,0)</f>
        <v>0</v>
      </c>
      <c r="AG165" s="17" t="n">
        <f aca="false">IF(ISNUMBER(SEARCH("R02R03",$AD165)),1,0)</f>
        <v>0</v>
      </c>
      <c r="AH165" s="17" t="n">
        <f aca="false">IF(ISNUMBER(SEARCH("R04",$AD165)),1,0)</f>
        <v>0</v>
      </c>
      <c r="AI165" s="17" t="n">
        <f aca="false">IF(ISNUMBER(SEARCH("R05",$AD165)),1,0)</f>
        <v>0</v>
      </c>
      <c r="AJ165" s="17" t="n">
        <f aca="false">IF(ISNUMBER(SEARCH("S3R06",$AD165)),1,0)</f>
        <v>0</v>
      </c>
      <c r="AK165" s="17" t="n">
        <f aca="false">IF(ISNUMBER(SEARCH("R07",$AD165)),1,0)</f>
        <v>0</v>
      </c>
      <c r="AL165" s="17" t="n">
        <f aca="false">IF(ISNUMBER(SEARCH("R09",$AD165)),1,0)</f>
        <v>0</v>
      </c>
      <c r="AM165" s="17" t="n">
        <f aca="false">IF(ISNUMBER(SEARCH("R10",$AD165)),1,0)</f>
        <v>0</v>
      </c>
      <c r="AN165" s="17" t="n">
        <f aca="false">IF(ISNUMBER(SEARCH("S5",$AD165)),1,0)</f>
        <v>0</v>
      </c>
      <c r="AO165" s="17" t="n">
        <f aca="false">IF(ISNUMBER(SEARCH("S6",$AD165)),1,0)</f>
        <v>0</v>
      </c>
      <c r="AP165" s="17" t="n">
        <f aca="false">IF(ISNUMBER(SEARCH("TR",$AD165)),1,0)</f>
        <v>1</v>
      </c>
    </row>
    <row r="166" customFormat="false" ht="147" hidden="false" customHeight="true" outlineLevel="0" collapsed="false">
      <c r="A166" s="4" t="s">
        <v>972</v>
      </c>
      <c r="B166" s="4" t="s">
        <v>952</v>
      </c>
      <c r="C166" s="4" t="s">
        <v>953</v>
      </c>
      <c r="D166" s="4" t="s">
        <v>973</v>
      </c>
      <c r="E166" s="4" t="s">
        <v>66</v>
      </c>
      <c r="F166" s="4" t="s">
        <v>197</v>
      </c>
      <c r="G166" s="4" t="s">
        <v>76</v>
      </c>
      <c r="H166" s="4" t="s">
        <v>139</v>
      </c>
      <c r="I166" s="4" t="s">
        <v>93</v>
      </c>
      <c r="J166" s="4" t="s">
        <v>69</v>
      </c>
      <c r="K166" s="4" t="s">
        <v>198</v>
      </c>
      <c r="L166" s="4" t="s">
        <v>48</v>
      </c>
      <c r="M166" s="4" t="s">
        <v>49</v>
      </c>
      <c r="N166" s="4" t="s">
        <v>61</v>
      </c>
      <c r="O166" s="4" t="s">
        <v>974</v>
      </c>
      <c r="P166" s="4" t="s">
        <v>957</v>
      </c>
      <c r="Q166" s="4" t="s">
        <v>51</v>
      </c>
      <c r="R166" s="4" t="s">
        <v>975</v>
      </c>
      <c r="S166" s="16" t="n">
        <f aca="false">IF(ISNUMBER(SEARCH("E0",$H166)),1,0)</f>
        <v>1</v>
      </c>
      <c r="T166" s="16" t="n">
        <f aca="false">IF(ISNUMBER(SEARCH("E1",$H166)),1,0)</f>
        <v>0</v>
      </c>
      <c r="U166" s="16" t="n">
        <f aca="false">IF(ISNUMBER(SEARCH("E2",$H166)),1,0)</f>
        <v>0</v>
      </c>
      <c r="V166" s="16" t="n">
        <f aca="false">IF(ISNUMBER(SEARCH("E3",$H166)),1,0)</f>
        <v>0</v>
      </c>
      <c r="W166" s="16" t="n">
        <f aca="false">IF(ISNUMBER(SEARCH("E4",$H166)),1,0)</f>
        <v>0</v>
      </c>
      <c r="X166" s="16" t="n">
        <f aca="false">IF(ISNUMBER(SEARCH("E5",$H166)),1,0)</f>
        <v>0</v>
      </c>
      <c r="Y166" s="16" t="n">
        <f aca="false">IF(ISNUMBER(SEARCH("E6",$H166)),1,0)</f>
        <v>0</v>
      </c>
      <c r="Z166" s="16" t="n">
        <f aca="false">IF(ISNUMBER(SEARCH("E7",$H166)),1,0)</f>
        <v>0</v>
      </c>
      <c r="AA166" s="16" t="n">
        <f aca="false">IF(ISNUMBER(SEARCH("E8",$H166)),1,0)</f>
        <v>0</v>
      </c>
      <c r="AB166" s="16" t="n">
        <f aca="false">IF(ISNUMBER(SEARCH("E9",$H166)),1,0)</f>
        <v>0</v>
      </c>
      <c r="AC166" s="16" t="n">
        <f aca="false">IF(ISNUMBER(SEARCH("TR",$H166)),1,0)</f>
        <v>0</v>
      </c>
      <c r="AD166" s="10" t="s">
        <v>182</v>
      </c>
      <c r="AE166" s="17" t="n">
        <f aca="false">IF(ISNUMBER(SEARCH("S0",$AD166)),1,0)</f>
        <v>1</v>
      </c>
      <c r="AF166" s="17" t="n">
        <f aca="false">IF(ISNUMBER(SEARCH("R01",$AD166)),1,0)</f>
        <v>0</v>
      </c>
      <c r="AG166" s="17" t="n">
        <f aca="false">IF(ISNUMBER(SEARCH("R02R03",$AD166)),1,0)</f>
        <v>0</v>
      </c>
      <c r="AH166" s="17" t="n">
        <f aca="false">IF(ISNUMBER(SEARCH("R04",$AD166)),1,0)</f>
        <v>0</v>
      </c>
      <c r="AI166" s="17" t="n">
        <f aca="false">IF(ISNUMBER(SEARCH("R05",$AD166)),1,0)</f>
        <v>0</v>
      </c>
      <c r="AJ166" s="17" t="n">
        <f aca="false">IF(ISNUMBER(SEARCH("S3R06",$AD166)),1,0)</f>
        <v>0</v>
      </c>
      <c r="AK166" s="17" t="n">
        <f aca="false">IF(ISNUMBER(SEARCH("R07",$AD166)),1,0)</f>
        <v>0</v>
      </c>
      <c r="AL166" s="17" t="n">
        <f aca="false">IF(ISNUMBER(SEARCH("R09",$AD166)),1,0)</f>
        <v>0</v>
      </c>
      <c r="AM166" s="17" t="n">
        <f aca="false">IF(ISNUMBER(SEARCH("R10",$AD166)),1,0)</f>
        <v>0</v>
      </c>
      <c r="AN166" s="17" t="n">
        <f aca="false">IF(ISNUMBER(SEARCH("S5",$AD166)),1,0)</f>
        <v>0</v>
      </c>
      <c r="AO166" s="17" t="n">
        <f aca="false">IF(ISNUMBER(SEARCH("S6",$AD166)),1,0)</f>
        <v>0</v>
      </c>
      <c r="AP166" s="17" t="n">
        <f aca="false">IF(ISNUMBER(SEARCH("TR",$AD166)),1,0)</f>
        <v>0</v>
      </c>
    </row>
    <row r="167" customFormat="false" ht="113.25" hidden="false" customHeight="true" outlineLevel="0" collapsed="false">
      <c r="A167" s="4" t="s">
        <v>976</v>
      </c>
      <c r="B167" s="4" t="s">
        <v>952</v>
      </c>
      <c r="C167" s="4" t="s">
        <v>953</v>
      </c>
      <c r="D167" s="4" t="s">
        <v>977</v>
      </c>
      <c r="E167" s="4" t="s">
        <v>66</v>
      </c>
      <c r="F167" s="4" t="s">
        <v>197</v>
      </c>
      <c r="G167" s="4" t="s">
        <v>56</v>
      </c>
      <c r="H167" s="4" t="s">
        <v>161</v>
      </c>
      <c r="I167" s="4" t="s">
        <v>93</v>
      </c>
      <c r="J167" s="4" t="s">
        <v>69</v>
      </c>
      <c r="K167" s="4" t="s">
        <v>978</v>
      </c>
      <c r="L167" s="4" t="s">
        <v>101</v>
      </c>
      <c r="M167" s="4" t="s">
        <v>49</v>
      </c>
      <c r="N167" s="4" t="s">
        <v>72</v>
      </c>
      <c r="O167" s="4" t="s">
        <v>979</v>
      </c>
      <c r="P167" s="4" t="s">
        <v>957</v>
      </c>
      <c r="Q167" s="4" t="s">
        <v>51</v>
      </c>
      <c r="R167" s="4" t="s">
        <v>980</v>
      </c>
      <c r="S167" s="16" t="n">
        <f aca="false">IF(ISNUMBER(SEARCH("E0",$H167)),1,0)</f>
        <v>0</v>
      </c>
      <c r="T167" s="16" t="n">
        <f aca="false">IF(ISNUMBER(SEARCH("E1",$H167)),1,0)</f>
        <v>0</v>
      </c>
      <c r="U167" s="16" t="n">
        <f aca="false">IF(ISNUMBER(SEARCH("E2",$H167)),1,0)</f>
        <v>0</v>
      </c>
      <c r="V167" s="16" t="n">
        <f aca="false">IF(ISNUMBER(SEARCH("E3",$H167)),1,0)</f>
        <v>0</v>
      </c>
      <c r="W167" s="16" t="n">
        <f aca="false">IF(ISNUMBER(SEARCH("E4",$H167)),1,0)</f>
        <v>0</v>
      </c>
      <c r="X167" s="16" t="n">
        <f aca="false">IF(ISNUMBER(SEARCH("E5",$H167)),1,0)</f>
        <v>0</v>
      </c>
      <c r="Y167" s="16" t="n">
        <f aca="false">IF(ISNUMBER(SEARCH("E6",$H167)),1,0)</f>
        <v>0</v>
      </c>
      <c r="Z167" s="16" t="n">
        <f aca="false">IF(ISNUMBER(SEARCH("E7",$H167)),1,0)</f>
        <v>0</v>
      </c>
      <c r="AA167" s="16" t="n">
        <f aca="false">IF(ISNUMBER(SEARCH("E8",$H167)),1,0)</f>
        <v>0</v>
      </c>
      <c r="AB167" s="16" t="n">
        <f aca="false">IF(ISNUMBER(SEARCH("E9",$H167)),1,0)</f>
        <v>0</v>
      </c>
      <c r="AC167" s="16" t="n">
        <f aca="false">IF(ISNUMBER(SEARCH("TR",$H167)),1,0)</f>
        <v>1</v>
      </c>
      <c r="AD167" s="10" t="s">
        <v>161</v>
      </c>
      <c r="AE167" s="17" t="n">
        <f aca="false">IF(ISNUMBER(SEARCH("S0",$AD167)),1,0)</f>
        <v>0</v>
      </c>
      <c r="AF167" s="17" t="n">
        <f aca="false">IF(ISNUMBER(SEARCH("R01",$AD167)),1,0)</f>
        <v>0</v>
      </c>
      <c r="AG167" s="17" t="n">
        <f aca="false">IF(ISNUMBER(SEARCH("R02R03",$AD167)),1,0)</f>
        <v>0</v>
      </c>
      <c r="AH167" s="17" t="n">
        <f aca="false">IF(ISNUMBER(SEARCH("R04",$AD167)),1,0)</f>
        <v>0</v>
      </c>
      <c r="AI167" s="17" t="n">
        <f aca="false">IF(ISNUMBER(SEARCH("R05",$AD167)),1,0)</f>
        <v>0</v>
      </c>
      <c r="AJ167" s="17" t="n">
        <f aca="false">IF(ISNUMBER(SEARCH("S3R06",$AD167)),1,0)</f>
        <v>0</v>
      </c>
      <c r="AK167" s="17" t="n">
        <f aca="false">IF(ISNUMBER(SEARCH("R07",$AD167)),1,0)</f>
        <v>0</v>
      </c>
      <c r="AL167" s="17" t="n">
        <f aca="false">IF(ISNUMBER(SEARCH("R09",$AD167)),1,0)</f>
        <v>0</v>
      </c>
      <c r="AM167" s="17" t="n">
        <f aca="false">IF(ISNUMBER(SEARCH("R10",$AD167)),1,0)</f>
        <v>0</v>
      </c>
      <c r="AN167" s="17" t="n">
        <f aca="false">IF(ISNUMBER(SEARCH("S5",$AD167)),1,0)</f>
        <v>0</v>
      </c>
      <c r="AO167" s="17" t="n">
        <f aca="false">IF(ISNUMBER(SEARCH("S6",$AD167)),1,0)</f>
        <v>0</v>
      </c>
      <c r="AP167" s="17" t="n">
        <f aca="false">IF(ISNUMBER(SEARCH("TR",$AD167)),1,0)</f>
        <v>1</v>
      </c>
    </row>
    <row r="168" customFormat="false" ht="90.75" hidden="false" customHeight="true" outlineLevel="0" collapsed="false">
      <c r="A168" s="4" t="s">
        <v>981</v>
      </c>
      <c r="B168" s="4" t="s">
        <v>952</v>
      </c>
      <c r="C168" s="4" t="s">
        <v>953</v>
      </c>
      <c r="D168" s="4" t="s">
        <v>982</v>
      </c>
      <c r="E168" s="4" t="s">
        <v>66</v>
      </c>
      <c r="F168" s="4" t="s">
        <v>197</v>
      </c>
      <c r="G168" s="4" t="s">
        <v>92</v>
      </c>
      <c r="H168" s="4" t="s">
        <v>161</v>
      </c>
      <c r="I168" s="4" t="s">
        <v>118</v>
      </c>
      <c r="J168" s="4" t="s">
        <v>78</v>
      </c>
      <c r="K168" s="4" t="s">
        <v>198</v>
      </c>
      <c r="L168" s="4" t="s">
        <v>95</v>
      </c>
      <c r="M168" s="4" t="s">
        <v>49</v>
      </c>
      <c r="N168" s="4" t="s">
        <v>72</v>
      </c>
      <c r="O168" s="4" t="s">
        <v>983</v>
      </c>
      <c r="P168" s="4" t="s">
        <v>957</v>
      </c>
      <c r="Q168" s="4" t="s">
        <v>51</v>
      </c>
      <c r="R168" s="4" t="s">
        <v>984</v>
      </c>
      <c r="S168" s="16" t="n">
        <f aca="false">IF(ISNUMBER(SEARCH("E0",$H168)),1,0)</f>
        <v>0</v>
      </c>
      <c r="T168" s="16" t="n">
        <f aca="false">IF(ISNUMBER(SEARCH("E1",$H168)),1,0)</f>
        <v>0</v>
      </c>
      <c r="U168" s="16" t="n">
        <f aca="false">IF(ISNUMBER(SEARCH("E2",$H168)),1,0)</f>
        <v>0</v>
      </c>
      <c r="V168" s="16" t="n">
        <f aca="false">IF(ISNUMBER(SEARCH("E3",$H168)),1,0)</f>
        <v>0</v>
      </c>
      <c r="W168" s="16" t="n">
        <f aca="false">IF(ISNUMBER(SEARCH("E4",$H168)),1,0)</f>
        <v>0</v>
      </c>
      <c r="X168" s="16" t="n">
        <f aca="false">IF(ISNUMBER(SEARCH("E5",$H168)),1,0)</f>
        <v>0</v>
      </c>
      <c r="Y168" s="16" t="n">
        <f aca="false">IF(ISNUMBER(SEARCH("E6",$H168)),1,0)</f>
        <v>0</v>
      </c>
      <c r="Z168" s="16" t="n">
        <f aca="false">IF(ISNUMBER(SEARCH("E7",$H168)),1,0)</f>
        <v>0</v>
      </c>
      <c r="AA168" s="16" t="n">
        <f aca="false">IF(ISNUMBER(SEARCH("E8",$H168)),1,0)</f>
        <v>0</v>
      </c>
      <c r="AB168" s="16" t="n">
        <f aca="false">IF(ISNUMBER(SEARCH("E9",$H168)),1,0)</f>
        <v>0</v>
      </c>
      <c r="AC168" s="16" t="n">
        <f aca="false">IF(ISNUMBER(SEARCH("TR",$H168)),1,0)</f>
        <v>1</v>
      </c>
      <c r="AD168" s="10" t="s">
        <v>161</v>
      </c>
      <c r="AE168" s="17" t="n">
        <f aca="false">IF(ISNUMBER(SEARCH("S0",$AD168)),1,0)</f>
        <v>0</v>
      </c>
      <c r="AF168" s="17" t="n">
        <f aca="false">IF(ISNUMBER(SEARCH("R01",$AD168)),1,0)</f>
        <v>0</v>
      </c>
      <c r="AG168" s="17" t="n">
        <f aca="false">IF(ISNUMBER(SEARCH("R02R03",$AD168)),1,0)</f>
        <v>0</v>
      </c>
      <c r="AH168" s="17" t="n">
        <f aca="false">IF(ISNUMBER(SEARCH("R04",$AD168)),1,0)</f>
        <v>0</v>
      </c>
      <c r="AI168" s="17" t="n">
        <f aca="false">IF(ISNUMBER(SEARCH("R05",$AD168)),1,0)</f>
        <v>0</v>
      </c>
      <c r="AJ168" s="17" t="n">
        <f aca="false">IF(ISNUMBER(SEARCH("S3R06",$AD168)),1,0)</f>
        <v>0</v>
      </c>
      <c r="AK168" s="17" t="n">
        <f aca="false">IF(ISNUMBER(SEARCH("R07",$AD168)),1,0)</f>
        <v>0</v>
      </c>
      <c r="AL168" s="17" t="n">
        <f aca="false">IF(ISNUMBER(SEARCH("R09",$AD168)),1,0)</f>
        <v>0</v>
      </c>
      <c r="AM168" s="17" t="n">
        <f aca="false">IF(ISNUMBER(SEARCH("R10",$AD168)),1,0)</f>
        <v>0</v>
      </c>
      <c r="AN168" s="17" t="n">
        <f aca="false">IF(ISNUMBER(SEARCH("S5",$AD168)),1,0)</f>
        <v>0</v>
      </c>
      <c r="AO168" s="17" t="n">
        <f aca="false">IF(ISNUMBER(SEARCH("S6",$AD168)),1,0)</f>
        <v>0</v>
      </c>
      <c r="AP168" s="17" t="n">
        <f aca="false">IF(ISNUMBER(SEARCH("TR",$AD168)),1,0)</f>
        <v>1</v>
      </c>
    </row>
    <row r="169" customFormat="false" ht="124.5" hidden="false" customHeight="true" outlineLevel="0" collapsed="false">
      <c r="A169" s="4" t="s">
        <v>985</v>
      </c>
      <c r="B169" s="4" t="s">
        <v>952</v>
      </c>
      <c r="C169" s="4" t="s">
        <v>953</v>
      </c>
      <c r="D169" s="4" t="s">
        <v>986</v>
      </c>
      <c r="E169" s="4" t="s">
        <v>66</v>
      </c>
      <c r="F169" s="4" t="s">
        <v>197</v>
      </c>
      <c r="G169" s="4" t="s">
        <v>45</v>
      </c>
      <c r="H169" s="4" t="s">
        <v>161</v>
      </c>
      <c r="I169" s="4" t="s">
        <v>118</v>
      </c>
      <c r="J169" s="4" t="s">
        <v>78</v>
      </c>
      <c r="K169" s="4" t="s">
        <v>198</v>
      </c>
      <c r="L169" s="4" t="s">
        <v>101</v>
      </c>
      <c r="M169" s="4" t="s">
        <v>49</v>
      </c>
      <c r="N169" s="4" t="s">
        <v>72</v>
      </c>
      <c r="O169" s="4" t="s">
        <v>987</v>
      </c>
      <c r="P169" s="4" t="s">
        <v>957</v>
      </c>
      <c r="Q169" s="4" t="s">
        <v>51</v>
      </c>
      <c r="R169" s="4" t="s">
        <v>988</v>
      </c>
      <c r="S169" s="16" t="n">
        <f aca="false">IF(ISNUMBER(SEARCH("E0",$H169)),1,0)</f>
        <v>0</v>
      </c>
      <c r="T169" s="16" t="n">
        <f aca="false">IF(ISNUMBER(SEARCH("E1",$H169)),1,0)</f>
        <v>0</v>
      </c>
      <c r="U169" s="16" t="n">
        <f aca="false">IF(ISNUMBER(SEARCH("E2",$H169)),1,0)</f>
        <v>0</v>
      </c>
      <c r="V169" s="16" t="n">
        <f aca="false">IF(ISNUMBER(SEARCH("E3",$H169)),1,0)</f>
        <v>0</v>
      </c>
      <c r="W169" s="16" t="n">
        <f aca="false">IF(ISNUMBER(SEARCH("E4",$H169)),1,0)</f>
        <v>0</v>
      </c>
      <c r="X169" s="16" t="n">
        <f aca="false">IF(ISNUMBER(SEARCH("E5",$H169)),1,0)</f>
        <v>0</v>
      </c>
      <c r="Y169" s="16" t="n">
        <f aca="false">IF(ISNUMBER(SEARCH("E6",$H169)),1,0)</f>
        <v>0</v>
      </c>
      <c r="Z169" s="16" t="n">
        <f aca="false">IF(ISNUMBER(SEARCH("E7",$H169)),1,0)</f>
        <v>0</v>
      </c>
      <c r="AA169" s="16" t="n">
        <f aca="false">IF(ISNUMBER(SEARCH("E8",$H169)),1,0)</f>
        <v>0</v>
      </c>
      <c r="AB169" s="16" t="n">
        <f aca="false">IF(ISNUMBER(SEARCH("E9",$H169)),1,0)</f>
        <v>0</v>
      </c>
      <c r="AC169" s="16" t="n">
        <f aca="false">IF(ISNUMBER(SEARCH("TR",$H169)),1,0)</f>
        <v>1</v>
      </c>
      <c r="AD169" s="10" t="s">
        <v>161</v>
      </c>
      <c r="AE169" s="17" t="n">
        <f aca="false">IF(ISNUMBER(SEARCH("S0",$AD169)),1,0)</f>
        <v>0</v>
      </c>
      <c r="AF169" s="17" t="n">
        <f aca="false">IF(ISNUMBER(SEARCH("R01",$AD169)),1,0)</f>
        <v>0</v>
      </c>
      <c r="AG169" s="17" t="n">
        <f aca="false">IF(ISNUMBER(SEARCH("R02R03",$AD169)),1,0)</f>
        <v>0</v>
      </c>
      <c r="AH169" s="17" t="n">
        <f aca="false">IF(ISNUMBER(SEARCH("R04",$AD169)),1,0)</f>
        <v>0</v>
      </c>
      <c r="AI169" s="17" t="n">
        <f aca="false">IF(ISNUMBER(SEARCH("R05",$AD169)),1,0)</f>
        <v>0</v>
      </c>
      <c r="AJ169" s="17" t="n">
        <f aca="false">IF(ISNUMBER(SEARCH("S3R06",$AD169)),1,0)</f>
        <v>0</v>
      </c>
      <c r="AK169" s="17" t="n">
        <f aca="false">IF(ISNUMBER(SEARCH("R07",$AD169)),1,0)</f>
        <v>0</v>
      </c>
      <c r="AL169" s="17" t="n">
        <f aca="false">IF(ISNUMBER(SEARCH("R09",$AD169)),1,0)</f>
        <v>0</v>
      </c>
      <c r="AM169" s="17" t="n">
        <f aca="false">IF(ISNUMBER(SEARCH("R10",$AD169)),1,0)</f>
        <v>0</v>
      </c>
      <c r="AN169" s="17" t="n">
        <f aca="false">IF(ISNUMBER(SEARCH("S5",$AD169)),1,0)</f>
        <v>0</v>
      </c>
      <c r="AO169" s="17" t="n">
        <f aca="false">IF(ISNUMBER(SEARCH("S6",$AD169)),1,0)</f>
        <v>0</v>
      </c>
      <c r="AP169" s="17" t="n">
        <f aca="false">IF(ISNUMBER(SEARCH("TR",$AD169)),1,0)</f>
        <v>1</v>
      </c>
    </row>
    <row r="170" customFormat="false" ht="113.25" hidden="false" customHeight="true" outlineLevel="0" collapsed="false">
      <c r="A170" s="4" t="s">
        <v>989</v>
      </c>
      <c r="B170" s="4" t="s">
        <v>952</v>
      </c>
      <c r="C170" s="4" t="s">
        <v>953</v>
      </c>
      <c r="D170" s="4" t="s">
        <v>990</v>
      </c>
      <c r="E170" s="4" t="s">
        <v>66</v>
      </c>
      <c r="F170" s="4" t="s">
        <v>197</v>
      </c>
      <c r="G170" s="4" t="s">
        <v>67</v>
      </c>
      <c r="H170" s="4" t="s">
        <v>161</v>
      </c>
      <c r="I170" s="4" t="s">
        <v>118</v>
      </c>
      <c r="J170" s="4" t="s">
        <v>78</v>
      </c>
      <c r="K170" s="4" t="s">
        <v>991</v>
      </c>
      <c r="L170" s="4" t="s">
        <v>101</v>
      </c>
      <c r="M170" s="4" t="s">
        <v>49</v>
      </c>
      <c r="N170" s="4" t="s">
        <v>72</v>
      </c>
      <c r="O170" s="4" t="s">
        <v>992</v>
      </c>
      <c r="P170" s="4" t="s">
        <v>957</v>
      </c>
      <c r="Q170" s="4" t="s">
        <v>51</v>
      </c>
      <c r="R170" s="4" t="s">
        <v>993</v>
      </c>
      <c r="S170" s="16" t="n">
        <f aca="false">IF(ISNUMBER(SEARCH("E0",$H170)),1,0)</f>
        <v>0</v>
      </c>
      <c r="T170" s="16" t="n">
        <f aca="false">IF(ISNUMBER(SEARCH("E1",$H170)),1,0)</f>
        <v>0</v>
      </c>
      <c r="U170" s="16" t="n">
        <f aca="false">IF(ISNUMBER(SEARCH("E2",$H170)),1,0)</f>
        <v>0</v>
      </c>
      <c r="V170" s="16" t="n">
        <f aca="false">IF(ISNUMBER(SEARCH("E3",$H170)),1,0)</f>
        <v>0</v>
      </c>
      <c r="W170" s="16" t="n">
        <f aca="false">IF(ISNUMBER(SEARCH("E4",$H170)),1,0)</f>
        <v>0</v>
      </c>
      <c r="X170" s="16" t="n">
        <f aca="false">IF(ISNUMBER(SEARCH("E5",$H170)),1,0)</f>
        <v>0</v>
      </c>
      <c r="Y170" s="16" t="n">
        <f aca="false">IF(ISNUMBER(SEARCH("E6",$H170)),1,0)</f>
        <v>0</v>
      </c>
      <c r="Z170" s="16" t="n">
        <f aca="false">IF(ISNUMBER(SEARCH("E7",$H170)),1,0)</f>
        <v>0</v>
      </c>
      <c r="AA170" s="16" t="n">
        <f aca="false">IF(ISNUMBER(SEARCH("E8",$H170)),1,0)</f>
        <v>0</v>
      </c>
      <c r="AB170" s="16" t="n">
        <f aca="false">IF(ISNUMBER(SEARCH("E9",$H170)),1,0)</f>
        <v>0</v>
      </c>
      <c r="AC170" s="16" t="n">
        <f aca="false">IF(ISNUMBER(SEARCH("TR",$H170)),1,0)</f>
        <v>1</v>
      </c>
      <c r="AD170" s="10" t="s">
        <v>161</v>
      </c>
      <c r="AE170" s="17" t="n">
        <f aca="false">IF(ISNUMBER(SEARCH("S0",$AD170)),1,0)</f>
        <v>0</v>
      </c>
      <c r="AF170" s="17" t="n">
        <f aca="false">IF(ISNUMBER(SEARCH("R01",$AD170)),1,0)</f>
        <v>0</v>
      </c>
      <c r="AG170" s="17" t="n">
        <f aca="false">IF(ISNUMBER(SEARCH("R02R03",$AD170)),1,0)</f>
        <v>0</v>
      </c>
      <c r="AH170" s="17" t="n">
        <f aca="false">IF(ISNUMBER(SEARCH("R04",$AD170)),1,0)</f>
        <v>0</v>
      </c>
      <c r="AI170" s="17" t="n">
        <f aca="false">IF(ISNUMBER(SEARCH("R05",$AD170)),1,0)</f>
        <v>0</v>
      </c>
      <c r="AJ170" s="17" t="n">
        <f aca="false">IF(ISNUMBER(SEARCH("S3R06",$AD170)),1,0)</f>
        <v>0</v>
      </c>
      <c r="AK170" s="17" t="n">
        <f aca="false">IF(ISNUMBER(SEARCH("R07",$AD170)),1,0)</f>
        <v>0</v>
      </c>
      <c r="AL170" s="17" t="n">
        <f aca="false">IF(ISNUMBER(SEARCH("R09",$AD170)),1,0)</f>
        <v>0</v>
      </c>
      <c r="AM170" s="17" t="n">
        <f aca="false">IF(ISNUMBER(SEARCH("R10",$AD170)),1,0)</f>
        <v>0</v>
      </c>
      <c r="AN170" s="17" t="n">
        <f aca="false">IF(ISNUMBER(SEARCH("S5",$AD170)),1,0)</f>
        <v>0</v>
      </c>
      <c r="AO170" s="17" t="n">
        <f aca="false">IF(ISNUMBER(SEARCH("S6",$AD170)),1,0)</f>
        <v>0</v>
      </c>
      <c r="AP170" s="17" t="n">
        <f aca="false">IF(ISNUMBER(SEARCH("TR",$AD170)),1,0)</f>
        <v>1</v>
      </c>
    </row>
    <row r="171" customFormat="false" ht="102" hidden="false" customHeight="true" outlineLevel="0" collapsed="false">
      <c r="A171" s="4" t="s">
        <v>994</v>
      </c>
      <c r="B171" s="4" t="s">
        <v>952</v>
      </c>
      <c r="C171" s="4" t="s">
        <v>953</v>
      </c>
      <c r="D171" s="4" t="s">
        <v>995</v>
      </c>
      <c r="E171" s="4" t="s">
        <v>66</v>
      </c>
      <c r="F171" s="4" t="s">
        <v>197</v>
      </c>
      <c r="G171" s="4" t="s">
        <v>67</v>
      </c>
      <c r="H171" s="4" t="s">
        <v>161</v>
      </c>
      <c r="I171" s="4" t="s">
        <v>118</v>
      </c>
      <c r="J171" s="4" t="s">
        <v>78</v>
      </c>
      <c r="K171" s="4" t="s">
        <v>996</v>
      </c>
      <c r="L171" s="4" t="s">
        <v>101</v>
      </c>
      <c r="M171" s="4" t="s">
        <v>49</v>
      </c>
      <c r="N171" s="4" t="s">
        <v>72</v>
      </c>
      <c r="O171" s="4" t="s">
        <v>997</v>
      </c>
      <c r="P171" s="4" t="s">
        <v>957</v>
      </c>
      <c r="Q171" s="4" t="s">
        <v>51</v>
      </c>
      <c r="R171" s="4" t="s">
        <v>998</v>
      </c>
      <c r="S171" s="16" t="n">
        <f aca="false">IF(ISNUMBER(SEARCH("E0",$H171)),1,0)</f>
        <v>0</v>
      </c>
      <c r="T171" s="16" t="n">
        <f aca="false">IF(ISNUMBER(SEARCH("E1",$H171)),1,0)</f>
        <v>0</v>
      </c>
      <c r="U171" s="16" t="n">
        <f aca="false">IF(ISNUMBER(SEARCH("E2",$H171)),1,0)</f>
        <v>0</v>
      </c>
      <c r="V171" s="16" t="n">
        <f aca="false">IF(ISNUMBER(SEARCH("E3",$H171)),1,0)</f>
        <v>0</v>
      </c>
      <c r="W171" s="16" t="n">
        <f aca="false">IF(ISNUMBER(SEARCH("E4",$H171)),1,0)</f>
        <v>0</v>
      </c>
      <c r="X171" s="16" t="n">
        <f aca="false">IF(ISNUMBER(SEARCH("E5",$H171)),1,0)</f>
        <v>0</v>
      </c>
      <c r="Y171" s="16" t="n">
        <f aca="false">IF(ISNUMBER(SEARCH("E6",$H171)),1,0)</f>
        <v>0</v>
      </c>
      <c r="Z171" s="16" t="n">
        <f aca="false">IF(ISNUMBER(SEARCH("E7",$H171)),1,0)</f>
        <v>0</v>
      </c>
      <c r="AA171" s="16" t="n">
        <f aca="false">IF(ISNUMBER(SEARCH("E8",$H171)),1,0)</f>
        <v>0</v>
      </c>
      <c r="AB171" s="16" t="n">
        <f aca="false">IF(ISNUMBER(SEARCH("E9",$H171)),1,0)</f>
        <v>0</v>
      </c>
      <c r="AC171" s="16" t="n">
        <f aca="false">IF(ISNUMBER(SEARCH("TR",$H171)),1,0)</f>
        <v>1</v>
      </c>
      <c r="AD171" s="10" t="s">
        <v>161</v>
      </c>
      <c r="AE171" s="17" t="n">
        <f aca="false">IF(ISNUMBER(SEARCH("S0",$AD171)),1,0)</f>
        <v>0</v>
      </c>
      <c r="AF171" s="17" t="n">
        <f aca="false">IF(ISNUMBER(SEARCH("R01",$AD171)),1,0)</f>
        <v>0</v>
      </c>
      <c r="AG171" s="17" t="n">
        <f aca="false">IF(ISNUMBER(SEARCH("R02R03",$AD171)),1,0)</f>
        <v>0</v>
      </c>
      <c r="AH171" s="17" t="n">
        <f aca="false">IF(ISNUMBER(SEARCH("R04",$AD171)),1,0)</f>
        <v>0</v>
      </c>
      <c r="AI171" s="17" t="n">
        <f aca="false">IF(ISNUMBER(SEARCH("R05",$AD171)),1,0)</f>
        <v>0</v>
      </c>
      <c r="AJ171" s="17" t="n">
        <f aca="false">IF(ISNUMBER(SEARCH("S3R06",$AD171)),1,0)</f>
        <v>0</v>
      </c>
      <c r="AK171" s="17" t="n">
        <f aca="false">IF(ISNUMBER(SEARCH("R07",$AD171)),1,0)</f>
        <v>0</v>
      </c>
      <c r="AL171" s="17" t="n">
        <f aca="false">IF(ISNUMBER(SEARCH("R09",$AD171)),1,0)</f>
        <v>0</v>
      </c>
      <c r="AM171" s="17" t="n">
        <f aca="false">IF(ISNUMBER(SEARCH("R10",$AD171)),1,0)</f>
        <v>0</v>
      </c>
      <c r="AN171" s="17" t="n">
        <f aca="false">IF(ISNUMBER(SEARCH("S5",$AD171)),1,0)</f>
        <v>0</v>
      </c>
      <c r="AO171" s="17" t="n">
        <f aca="false">IF(ISNUMBER(SEARCH("S6",$AD171)),1,0)</f>
        <v>0</v>
      </c>
      <c r="AP171" s="17" t="n">
        <f aca="false">IF(ISNUMBER(SEARCH("TR",$AD171)),1,0)</f>
        <v>1</v>
      </c>
    </row>
    <row r="172" customFormat="false" ht="124.5" hidden="false" customHeight="true" outlineLevel="0" collapsed="false">
      <c r="A172" s="4" t="s">
        <v>999</v>
      </c>
      <c r="B172" s="4" t="s">
        <v>952</v>
      </c>
      <c r="C172" s="4" t="s">
        <v>953</v>
      </c>
      <c r="D172" s="4" t="s">
        <v>1000</v>
      </c>
      <c r="E172" s="4" t="s">
        <v>66</v>
      </c>
      <c r="F172" s="4" t="s">
        <v>197</v>
      </c>
      <c r="G172" s="4" t="s">
        <v>110</v>
      </c>
      <c r="H172" s="4" t="s">
        <v>161</v>
      </c>
      <c r="I172" s="4" t="s">
        <v>114</v>
      </c>
      <c r="J172" s="4" t="s">
        <v>78</v>
      </c>
      <c r="K172" s="4" t="s">
        <v>198</v>
      </c>
      <c r="L172" s="4" t="s">
        <v>95</v>
      </c>
      <c r="M172" s="4" t="s">
        <v>49</v>
      </c>
      <c r="N172" s="4" t="s">
        <v>61</v>
      </c>
      <c r="O172" s="4" t="s">
        <v>1001</v>
      </c>
      <c r="P172" s="4" t="s">
        <v>957</v>
      </c>
      <c r="Q172" s="4" t="s">
        <v>51</v>
      </c>
      <c r="R172" s="4" t="s">
        <v>1002</v>
      </c>
      <c r="S172" s="16" t="n">
        <f aca="false">IF(ISNUMBER(SEARCH("E0",$H172)),1,0)</f>
        <v>0</v>
      </c>
      <c r="T172" s="16" t="n">
        <f aca="false">IF(ISNUMBER(SEARCH("E1",$H172)),1,0)</f>
        <v>0</v>
      </c>
      <c r="U172" s="16" t="n">
        <f aca="false">IF(ISNUMBER(SEARCH("E2",$H172)),1,0)</f>
        <v>0</v>
      </c>
      <c r="V172" s="16" t="n">
        <f aca="false">IF(ISNUMBER(SEARCH("E3",$H172)),1,0)</f>
        <v>0</v>
      </c>
      <c r="W172" s="16" t="n">
        <f aca="false">IF(ISNUMBER(SEARCH("E4",$H172)),1,0)</f>
        <v>0</v>
      </c>
      <c r="X172" s="16" t="n">
        <f aca="false">IF(ISNUMBER(SEARCH("E5",$H172)),1,0)</f>
        <v>0</v>
      </c>
      <c r="Y172" s="16" t="n">
        <f aca="false">IF(ISNUMBER(SEARCH("E6",$H172)),1,0)</f>
        <v>0</v>
      </c>
      <c r="Z172" s="16" t="n">
        <f aca="false">IF(ISNUMBER(SEARCH("E7",$H172)),1,0)</f>
        <v>0</v>
      </c>
      <c r="AA172" s="16" t="n">
        <f aca="false">IF(ISNUMBER(SEARCH("E8",$H172)),1,0)</f>
        <v>0</v>
      </c>
      <c r="AB172" s="16" t="n">
        <f aca="false">IF(ISNUMBER(SEARCH("E9",$H172)),1,0)</f>
        <v>0</v>
      </c>
      <c r="AC172" s="16" t="n">
        <f aca="false">IF(ISNUMBER(SEARCH("TR",$H172)),1,0)</f>
        <v>1</v>
      </c>
      <c r="AD172" s="10" t="s">
        <v>161</v>
      </c>
      <c r="AE172" s="17" t="n">
        <f aca="false">IF(ISNUMBER(SEARCH("S0",$AD172)),1,0)</f>
        <v>0</v>
      </c>
      <c r="AF172" s="17" t="n">
        <f aca="false">IF(ISNUMBER(SEARCH("R01",$AD172)),1,0)</f>
        <v>0</v>
      </c>
      <c r="AG172" s="17" t="n">
        <f aca="false">IF(ISNUMBER(SEARCH("R02R03",$AD172)),1,0)</f>
        <v>0</v>
      </c>
      <c r="AH172" s="17" t="n">
        <f aca="false">IF(ISNUMBER(SEARCH("R04",$AD172)),1,0)</f>
        <v>0</v>
      </c>
      <c r="AI172" s="17" t="n">
        <f aca="false">IF(ISNUMBER(SEARCH("R05",$AD172)),1,0)</f>
        <v>0</v>
      </c>
      <c r="AJ172" s="17" t="n">
        <f aca="false">IF(ISNUMBER(SEARCH("S3R06",$AD172)),1,0)</f>
        <v>0</v>
      </c>
      <c r="AK172" s="17" t="n">
        <f aca="false">IF(ISNUMBER(SEARCH("R07",$AD172)),1,0)</f>
        <v>0</v>
      </c>
      <c r="AL172" s="17" t="n">
        <f aca="false">IF(ISNUMBER(SEARCH("R09",$AD172)),1,0)</f>
        <v>0</v>
      </c>
      <c r="AM172" s="17" t="n">
        <f aca="false">IF(ISNUMBER(SEARCH("R10",$AD172)),1,0)</f>
        <v>0</v>
      </c>
      <c r="AN172" s="17" t="n">
        <f aca="false">IF(ISNUMBER(SEARCH("S5",$AD172)),1,0)</f>
        <v>0</v>
      </c>
      <c r="AO172" s="17" t="n">
        <f aca="false">IF(ISNUMBER(SEARCH("S6",$AD172)),1,0)</f>
        <v>0</v>
      </c>
      <c r="AP172" s="17" t="n">
        <f aca="false">IF(ISNUMBER(SEARCH("TR",$AD172)),1,0)</f>
        <v>1</v>
      </c>
    </row>
    <row r="173" customFormat="false" ht="124.5" hidden="false" customHeight="true" outlineLevel="0" collapsed="false">
      <c r="A173" s="4" t="s">
        <v>1003</v>
      </c>
      <c r="B173" s="4" t="s">
        <v>952</v>
      </c>
      <c r="C173" s="4" t="s">
        <v>953</v>
      </c>
      <c r="D173" s="4" t="s">
        <v>1004</v>
      </c>
      <c r="E173" s="4" t="s">
        <v>66</v>
      </c>
      <c r="F173" s="4" t="s">
        <v>197</v>
      </c>
      <c r="G173" s="4" t="s">
        <v>84</v>
      </c>
      <c r="H173" s="4" t="s">
        <v>161</v>
      </c>
      <c r="I173" s="4" t="s">
        <v>99</v>
      </c>
      <c r="J173" s="4" t="s">
        <v>78</v>
      </c>
      <c r="K173" s="4" t="s">
        <v>198</v>
      </c>
      <c r="L173" s="4" t="s">
        <v>101</v>
      </c>
      <c r="M173" s="4" t="s">
        <v>49</v>
      </c>
      <c r="N173" s="4" t="s">
        <v>72</v>
      </c>
      <c r="O173" s="4" t="s">
        <v>1005</v>
      </c>
      <c r="P173" s="4" t="s">
        <v>957</v>
      </c>
      <c r="Q173" s="4" t="s">
        <v>51</v>
      </c>
      <c r="R173" s="4" t="s">
        <v>1006</v>
      </c>
      <c r="S173" s="16" t="n">
        <f aca="false">IF(ISNUMBER(SEARCH("E0",$H173)),1,0)</f>
        <v>0</v>
      </c>
      <c r="T173" s="16" t="n">
        <f aca="false">IF(ISNUMBER(SEARCH("E1",$H173)),1,0)</f>
        <v>0</v>
      </c>
      <c r="U173" s="16" t="n">
        <f aca="false">IF(ISNUMBER(SEARCH("E2",$H173)),1,0)</f>
        <v>0</v>
      </c>
      <c r="V173" s="16" t="n">
        <f aca="false">IF(ISNUMBER(SEARCH("E3",$H173)),1,0)</f>
        <v>0</v>
      </c>
      <c r="W173" s="16" t="n">
        <f aca="false">IF(ISNUMBER(SEARCH("E4",$H173)),1,0)</f>
        <v>0</v>
      </c>
      <c r="X173" s="16" t="n">
        <f aca="false">IF(ISNUMBER(SEARCH("E5",$H173)),1,0)</f>
        <v>0</v>
      </c>
      <c r="Y173" s="16" t="n">
        <f aca="false">IF(ISNUMBER(SEARCH("E6",$H173)),1,0)</f>
        <v>0</v>
      </c>
      <c r="Z173" s="16" t="n">
        <f aca="false">IF(ISNUMBER(SEARCH("E7",$H173)),1,0)</f>
        <v>0</v>
      </c>
      <c r="AA173" s="16" t="n">
        <f aca="false">IF(ISNUMBER(SEARCH("E8",$H173)),1,0)</f>
        <v>0</v>
      </c>
      <c r="AB173" s="16" t="n">
        <f aca="false">IF(ISNUMBER(SEARCH("E9",$H173)),1,0)</f>
        <v>0</v>
      </c>
      <c r="AC173" s="16" t="n">
        <f aca="false">IF(ISNUMBER(SEARCH("TR",$H173)),1,0)</f>
        <v>1</v>
      </c>
      <c r="AD173" s="10" t="s">
        <v>161</v>
      </c>
      <c r="AE173" s="17" t="n">
        <f aca="false">IF(ISNUMBER(SEARCH("S0",$AD173)),1,0)</f>
        <v>0</v>
      </c>
      <c r="AF173" s="17" t="n">
        <f aca="false">IF(ISNUMBER(SEARCH("R01",$AD173)),1,0)</f>
        <v>0</v>
      </c>
      <c r="AG173" s="17" t="n">
        <f aca="false">IF(ISNUMBER(SEARCH("R02R03",$AD173)),1,0)</f>
        <v>0</v>
      </c>
      <c r="AH173" s="17" t="n">
        <f aca="false">IF(ISNUMBER(SEARCH("R04",$AD173)),1,0)</f>
        <v>0</v>
      </c>
      <c r="AI173" s="17" t="n">
        <f aca="false">IF(ISNUMBER(SEARCH("R05",$AD173)),1,0)</f>
        <v>0</v>
      </c>
      <c r="AJ173" s="17" t="n">
        <f aca="false">IF(ISNUMBER(SEARCH("S3R06",$AD173)),1,0)</f>
        <v>0</v>
      </c>
      <c r="AK173" s="17" t="n">
        <f aca="false">IF(ISNUMBER(SEARCH("R07",$AD173)),1,0)</f>
        <v>0</v>
      </c>
      <c r="AL173" s="17" t="n">
        <f aca="false">IF(ISNUMBER(SEARCH("R09",$AD173)),1,0)</f>
        <v>0</v>
      </c>
      <c r="AM173" s="17" t="n">
        <f aca="false">IF(ISNUMBER(SEARCH("R10",$AD173)),1,0)</f>
        <v>0</v>
      </c>
      <c r="AN173" s="17" t="n">
        <f aca="false">IF(ISNUMBER(SEARCH("S5",$AD173)),1,0)</f>
        <v>0</v>
      </c>
      <c r="AO173" s="17" t="n">
        <f aca="false">IF(ISNUMBER(SEARCH("S6",$AD173)),1,0)</f>
        <v>0</v>
      </c>
      <c r="AP173" s="17" t="n">
        <f aca="false">IF(ISNUMBER(SEARCH("TR",$AD173)),1,0)</f>
        <v>1</v>
      </c>
    </row>
    <row r="174" customFormat="false" ht="113.25" hidden="false" customHeight="true" outlineLevel="0" collapsed="false">
      <c r="A174" s="4" t="s">
        <v>1007</v>
      </c>
      <c r="B174" s="4" t="s">
        <v>952</v>
      </c>
      <c r="C174" s="4" t="s">
        <v>953</v>
      </c>
      <c r="D174" s="4" t="s">
        <v>1008</v>
      </c>
      <c r="E174" s="4" t="s">
        <v>66</v>
      </c>
      <c r="F174" s="4" t="s">
        <v>197</v>
      </c>
      <c r="G174" s="4" t="s">
        <v>92</v>
      </c>
      <c r="H174" s="4" t="s">
        <v>161</v>
      </c>
      <c r="I174" s="4" t="s">
        <v>99</v>
      </c>
      <c r="J174" s="4" t="s">
        <v>78</v>
      </c>
      <c r="K174" s="4" t="s">
        <v>198</v>
      </c>
      <c r="L174" s="4" t="s">
        <v>95</v>
      </c>
      <c r="M174" s="4" t="s">
        <v>49</v>
      </c>
      <c r="N174" s="4" t="s">
        <v>72</v>
      </c>
      <c r="O174" s="4" t="s">
        <v>1009</v>
      </c>
      <c r="P174" s="4" t="s">
        <v>957</v>
      </c>
      <c r="Q174" s="4" t="s">
        <v>51</v>
      </c>
      <c r="R174" s="4" t="s">
        <v>1010</v>
      </c>
      <c r="S174" s="16" t="n">
        <f aca="false">IF(ISNUMBER(SEARCH("E0",$H174)),1,0)</f>
        <v>0</v>
      </c>
      <c r="T174" s="16" t="n">
        <f aca="false">IF(ISNUMBER(SEARCH("E1",$H174)),1,0)</f>
        <v>0</v>
      </c>
      <c r="U174" s="16" t="n">
        <f aca="false">IF(ISNUMBER(SEARCH("E2",$H174)),1,0)</f>
        <v>0</v>
      </c>
      <c r="V174" s="16" t="n">
        <f aca="false">IF(ISNUMBER(SEARCH("E3",$H174)),1,0)</f>
        <v>0</v>
      </c>
      <c r="W174" s="16" t="n">
        <f aca="false">IF(ISNUMBER(SEARCH("E4",$H174)),1,0)</f>
        <v>0</v>
      </c>
      <c r="X174" s="16" t="n">
        <f aca="false">IF(ISNUMBER(SEARCH("E5",$H174)),1,0)</f>
        <v>0</v>
      </c>
      <c r="Y174" s="16" t="n">
        <f aca="false">IF(ISNUMBER(SEARCH("E6",$H174)),1,0)</f>
        <v>0</v>
      </c>
      <c r="Z174" s="16" t="n">
        <f aca="false">IF(ISNUMBER(SEARCH("E7",$H174)),1,0)</f>
        <v>0</v>
      </c>
      <c r="AA174" s="16" t="n">
        <f aca="false">IF(ISNUMBER(SEARCH("E8",$H174)),1,0)</f>
        <v>0</v>
      </c>
      <c r="AB174" s="16" t="n">
        <f aca="false">IF(ISNUMBER(SEARCH("E9",$H174)),1,0)</f>
        <v>0</v>
      </c>
      <c r="AC174" s="16" t="n">
        <f aca="false">IF(ISNUMBER(SEARCH("TR",$H174)),1,0)</f>
        <v>1</v>
      </c>
      <c r="AD174" s="10" t="s">
        <v>161</v>
      </c>
      <c r="AE174" s="17" t="n">
        <f aca="false">IF(ISNUMBER(SEARCH("S0",$AD174)),1,0)</f>
        <v>0</v>
      </c>
      <c r="AF174" s="17" t="n">
        <f aca="false">IF(ISNUMBER(SEARCH("R01",$AD174)),1,0)</f>
        <v>0</v>
      </c>
      <c r="AG174" s="17" t="n">
        <f aca="false">IF(ISNUMBER(SEARCH("R02R03",$AD174)),1,0)</f>
        <v>0</v>
      </c>
      <c r="AH174" s="17" t="n">
        <f aca="false">IF(ISNUMBER(SEARCH("R04",$AD174)),1,0)</f>
        <v>0</v>
      </c>
      <c r="AI174" s="17" t="n">
        <f aca="false">IF(ISNUMBER(SEARCH("R05",$AD174)),1,0)</f>
        <v>0</v>
      </c>
      <c r="AJ174" s="17" t="n">
        <f aca="false">IF(ISNUMBER(SEARCH("S3R06",$AD174)),1,0)</f>
        <v>0</v>
      </c>
      <c r="AK174" s="17" t="n">
        <f aca="false">IF(ISNUMBER(SEARCH("R07",$AD174)),1,0)</f>
        <v>0</v>
      </c>
      <c r="AL174" s="17" t="n">
        <f aca="false">IF(ISNUMBER(SEARCH("R09",$AD174)),1,0)</f>
        <v>0</v>
      </c>
      <c r="AM174" s="17" t="n">
        <f aca="false">IF(ISNUMBER(SEARCH("R10",$AD174)),1,0)</f>
        <v>0</v>
      </c>
      <c r="AN174" s="17" t="n">
        <f aca="false">IF(ISNUMBER(SEARCH("S5",$AD174)),1,0)</f>
        <v>0</v>
      </c>
      <c r="AO174" s="17" t="n">
        <f aca="false">IF(ISNUMBER(SEARCH("S6",$AD174)),1,0)</f>
        <v>0</v>
      </c>
      <c r="AP174" s="17" t="n">
        <f aca="false">IF(ISNUMBER(SEARCH("TR",$AD174)),1,0)</f>
        <v>1</v>
      </c>
    </row>
    <row r="175" customFormat="false" ht="113.25" hidden="false" customHeight="true" outlineLevel="0" collapsed="false">
      <c r="A175" s="4" t="s">
        <v>1011</v>
      </c>
      <c r="B175" s="4" t="s">
        <v>952</v>
      </c>
      <c r="C175" s="4" t="s">
        <v>953</v>
      </c>
      <c r="D175" s="4" t="s">
        <v>203</v>
      </c>
      <c r="E175" s="4" t="s">
        <v>66</v>
      </c>
      <c r="F175" s="4" t="s">
        <v>197</v>
      </c>
      <c r="G175" s="4" t="s">
        <v>56</v>
      </c>
      <c r="H175" s="4" t="s">
        <v>161</v>
      </c>
      <c r="I175" s="4" t="s">
        <v>99</v>
      </c>
      <c r="J175" s="4" t="s">
        <v>78</v>
      </c>
      <c r="K175" s="4" t="s">
        <v>514</v>
      </c>
      <c r="L175" s="4" t="s">
        <v>101</v>
      </c>
      <c r="M175" s="4" t="s">
        <v>49</v>
      </c>
      <c r="N175" s="4" t="s">
        <v>72</v>
      </c>
      <c r="O175" s="4" t="s">
        <v>1012</v>
      </c>
      <c r="P175" s="4" t="s">
        <v>957</v>
      </c>
      <c r="Q175" s="4" t="s">
        <v>51</v>
      </c>
      <c r="R175" s="4" t="s">
        <v>1013</v>
      </c>
      <c r="S175" s="16" t="n">
        <f aca="false">IF(ISNUMBER(SEARCH("E0",$H175)),1,0)</f>
        <v>0</v>
      </c>
      <c r="T175" s="16" t="n">
        <f aca="false">IF(ISNUMBER(SEARCH("E1",$H175)),1,0)</f>
        <v>0</v>
      </c>
      <c r="U175" s="16" t="n">
        <f aca="false">IF(ISNUMBER(SEARCH("E2",$H175)),1,0)</f>
        <v>0</v>
      </c>
      <c r="V175" s="16" t="n">
        <f aca="false">IF(ISNUMBER(SEARCH("E3",$H175)),1,0)</f>
        <v>0</v>
      </c>
      <c r="W175" s="16" t="n">
        <f aca="false">IF(ISNUMBER(SEARCH("E4",$H175)),1,0)</f>
        <v>0</v>
      </c>
      <c r="X175" s="16" t="n">
        <f aca="false">IF(ISNUMBER(SEARCH("E5",$H175)),1,0)</f>
        <v>0</v>
      </c>
      <c r="Y175" s="16" t="n">
        <f aca="false">IF(ISNUMBER(SEARCH("E6",$H175)),1,0)</f>
        <v>0</v>
      </c>
      <c r="Z175" s="16" t="n">
        <f aca="false">IF(ISNUMBER(SEARCH("E7",$H175)),1,0)</f>
        <v>0</v>
      </c>
      <c r="AA175" s="16" t="n">
        <f aca="false">IF(ISNUMBER(SEARCH("E8",$H175)),1,0)</f>
        <v>0</v>
      </c>
      <c r="AB175" s="16" t="n">
        <f aca="false">IF(ISNUMBER(SEARCH("E9",$H175)),1,0)</f>
        <v>0</v>
      </c>
      <c r="AC175" s="16" t="n">
        <f aca="false">IF(ISNUMBER(SEARCH("TR",$H175)),1,0)</f>
        <v>1</v>
      </c>
      <c r="AD175" s="10" t="s">
        <v>161</v>
      </c>
      <c r="AE175" s="17" t="n">
        <f aca="false">IF(ISNUMBER(SEARCH("S0",$AD175)),1,0)</f>
        <v>0</v>
      </c>
      <c r="AF175" s="17" t="n">
        <f aca="false">IF(ISNUMBER(SEARCH("R01",$AD175)),1,0)</f>
        <v>0</v>
      </c>
      <c r="AG175" s="17" t="n">
        <f aca="false">IF(ISNUMBER(SEARCH("R02R03",$AD175)),1,0)</f>
        <v>0</v>
      </c>
      <c r="AH175" s="17" t="n">
        <f aca="false">IF(ISNUMBER(SEARCH("R04",$AD175)),1,0)</f>
        <v>0</v>
      </c>
      <c r="AI175" s="17" t="n">
        <f aca="false">IF(ISNUMBER(SEARCH("R05",$AD175)),1,0)</f>
        <v>0</v>
      </c>
      <c r="AJ175" s="17" t="n">
        <f aca="false">IF(ISNUMBER(SEARCH("S3R06",$AD175)),1,0)</f>
        <v>0</v>
      </c>
      <c r="AK175" s="17" t="n">
        <f aca="false">IF(ISNUMBER(SEARCH("R07",$AD175)),1,0)</f>
        <v>0</v>
      </c>
      <c r="AL175" s="17" t="n">
        <f aca="false">IF(ISNUMBER(SEARCH("R09",$AD175)),1,0)</f>
        <v>0</v>
      </c>
      <c r="AM175" s="17" t="n">
        <f aca="false">IF(ISNUMBER(SEARCH("R10",$AD175)),1,0)</f>
        <v>0</v>
      </c>
      <c r="AN175" s="17" t="n">
        <f aca="false">IF(ISNUMBER(SEARCH("S5",$AD175)),1,0)</f>
        <v>0</v>
      </c>
      <c r="AO175" s="17" t="n">
        <f aca="false">IF(ISNUMBER(SEARCH("S6",$AD175)),1,0)</f>
        <v>0</v>
      </c>
      <c r="AP175" s="17" t="n">
        <f aca="false">IF(ISNUMBER(SEARCH("TR",$AD175)),1,0)</f>
        <v>1</v>
      </c>
    </row>
    <row r="176" customFormat="false" ht="90.75" hidden="false" customHeight="true" outlineLevel="0" collapsed="false">
      <c r="A176" s="4" t="s">
        <v>1014</v>
      </c>
      <c r="B176" s="4" t="s">
        <v>952</v>
      </c>
      <c r="C176" s="4" t="s">
        <v>953</v>
      </c>
      <c r="D176" s="4" t="s">
        <v>1015</v>
      </c>
      <c r="E176" s="4" t="s">
        <v>66</v>
      </c>
      <c r="F176" s="4" t="s">
        <v>197</v>
      </c>
      <c r="G176" s="4" t="s">
        <v>92</v>
      </c>
      <c r="H176" s="4" t="s">
        <v>161</v>
      </c>
      <c r="I176" s="4" t="s">
        <v>99</v>
      </c>
      <c r="J176" s="4" t="s">
        <v>78</v>
      </c>
      <c r="K176" s="4" t="s">
        <v>1016</v>
      </c>
      <c r="L176" s="4" t="s">
        <v>95</v>
      </c>
      <c r="M176" s="4" t="s">
        <v>49</v>
      </c>
      <c r="N176" s="4" t="s">
        <v>72</v>
      </c>
      <c r="O176" s="4" t="s">
        <v>1017</v>
      </c>
      <c r="P176" s="4" t="s">
        <v>957</v>
      </c>
      <c r="Q176" s="4" t="s">
        <v>51</v>
      </c>
      <c r="R176" s="4" t="s">
        <v>1018</v>
      </c>
      <c r="S176" s="16" t="n">
        <f aca="false">IF(ISNUMBER(SEARCH("E0",$H176)),1,0)</f>
        <v>0</v>
      </c>
      <c r="T176" s="16" t="n">
        <f aca="false">IF(ISNUMBER(SEARCH("E1",$H176)),1,0)</f>
        <v>0</v>
      </c>
      <c r="U176" s="16" t="n">
        <f aca="false">IF(ISNUMBER(SEARCH("E2",$H176)),1,0)</f>
        <v>0</v>
      </c>
      <c r="V176" s="16" t="n">
        <f aca="false">IF(ISNUMBER(SEARCH("E3",$H176)),1,0)</f>
        <v>0</v>
      </c>
      <c r="W176" s="16" t="n">
        <f aca="false">IF(ISNUMBER(SEARCH("E4",$H176)),1,0)</f>
        <v>0</v>
      </c>
      <c r="X176" s="16" t="n">
        <f aca="false">IF(ISNUMBER(SEARCH("E5",$H176)),1,0)</f>
        <v>0</v>
      </c>
      <c r="Y176" s="16" t="n">
        <f aca="false">IF(ISNUMBER(SEARCH("E6",$H176)),1,0)</f>
        <v>0</v>
      </c>
      <c r="Z176" s="16" t="n">
        <f aca="false">IF(ISNUMBER(SEARCH("E7",$H176)),1,0)</f>
        <v>0</v>
      </c>
      <c r="AA176" s="16" t="n">
        <f aca="false">IF(ISNUMBER(SEARCH("E8",$H176)),1,0)</f>
        <v>0</v>
      </c>
      <c r="AB176" s="16" t="n">
        <f aca="false">IF(ISNUMBER(SEARCH("E9",$H176)),1,0)</f>
        <v>0</v>
      </c>
      <c r="AC176" s="16" t="n">
        <f aca="false">IF(ISNUMBER(SEARCH("TR",$H176)),1,0)</f>
        <v>1</v>
      </c>
      <c r="AD176" s="10" t="s">
        <v>161</v>
      </c>
      <c r="AE176" s="17" t="n">
        <f aca="false">IF(ISNUMBER(SEARCH("S0",$AD176)),1,0)</f>
        <v>0</v>
      </c>
      <c r="AF176" s="17" t="n">
        <f aca="false">IF(ISNUMBER(SEARCH("R01",$AD176)),1,0)</f>
        <v>0</v>
      </c>
      <c r="AG176" s="17" t="n">
        <f aca="false">IF(ISNUMBER(SEARCH("R02R03",$AD176)),1,0)</f>
        <v>0</v>
      </c>
      <c r="AH176" s="17" t="n">
        <f aca="false">IF(ISNUMBER(SEARCH("R04",$AD176)),1,0)</f>
        <v>0</v>
      </c>
      <c r="AI176" s="17" t="n">
        <f aca="false">IF(ISNUMBER(SEARCH("R05",$AD176)),1,0)</f>
        <v>0</v>
      </c>
      <c r="AJ176" s="17" t="n">
        <f aca="false">IF(ISNUMBER(SEARCH("S3R06",$AD176)),1,0)</f>
        <v>0</v>
      </c>
      <c r="AK176" s="17" t="n">
        <f aca="false">IF(ISNUMBER(SEARCH("R07",$AD176)),1,0)</f>
        <v>0</v>
      </c>
      <c r="AL176" s="17" t="n">
        <f aca="false">IF(ISNUMBER(SEARCH("R09",$AD176)),1,0)</f>
        <v>0</v>
      </c>
      <c r="AM176" s="17" t="n">
        <f aca="false">IF(ISNUMBER(SEARCH("R10",$AD176)),1,0)</f>
        <v>0</v>
      </c>
      <c r="AN176" s="17" t="n">
        <f aca="false">IF(ISNUMBER(SEARCH("S5",$AD176)),1,0)</f>
        <v>0</v>
      </c>
      <c r="AO176" s="17" t="n">
        <f aca="false">IF(ISNUMBER(SEARCH("S6",$AD176)),1,0)</f>
        <v>0</v>
      </c>
      <c r="AP176" s="17" t="n">
        <f aca="false">IF(ISNUMBER(SEARCH("TR",$AD176)),1,0)</f>
        <v>1</v>
      </c>
    </row>
    <row r="177" customFormat="false" ht="102" hidden="false" customHeight="true" outlineLevel="0" collapsed="false">
      <c r="A177" s="4" t="s">
        <v>1019</v>
      </c>
      <c r="B177" s="4" t="s">
        <v>952</v>
      </c>
      <c r="C177" s="4" t="s">
        <v>953</v>
      </c>
      <c r="D177" s="4" t="s">
        <v>216</v>
      </c>
      <c r="E177" s="4" t="s">
        <v>66</v>
      </c>
      <c r="F177" s="4" t="s">
        <v>197</v>
      </c>
      <c r="G177" s="4" t="s">
        <v>67</v>
      </c>
      <c r="H177" s="4" t="s">
        <v>161</v>
      </c>
      <c r="I177" s="4" t="s">
        <v>99</v>
      </c>
      <c r="J177" s="4" t="s">
        <v>78</v>
      </c>
      <c r="K177" s="4" t="s">
        <v>198</v>
      </c>
      <c r="L177" s="4" t="s">
        <v>101</v>
      </c>
      <c r="M177" s="4" t="s">
        <v>49</v>
      </c>
      <c r="N177" s="4" t="s">
        <v>72</v>
      </c>
      <c r="O177" s="4" t="s">
        <v>1020</v>
      </c>
      <c r="P177" s="4" t="s">
        <v>957</v>
      </c>
      <c r="Q177" s="4" t="s">
        <v>51</v>
      </c>
      <c r="R177" s="4" t="s">
        <v>1021</v>
      </c>
      <c r="S177" s="16" t="n">
        <f aca="false">IF(ISNUMBER(SEARCH("E0",$H177)),1,0)</f>
        <v>0</v>
      </c>
      <c r="T177" s="16" t="n">
        <f aca="false">IF(ISNUMBER(SEARCH("E1",$H177)),1,0)</f>
        <v>0</v>
      </c>
      <c r="U177" s="16" t="n">
        <f aca="false">IF(ISNUMBER(SEARCH("E2",$H177)),1,0)</f>
        <v>0</v>
      </c>
      <c r="V177" s="16" t="n">
        <f aca="false">IF(ISNUMBER(SEARCH("E3",$H177)),1,0)</f>
        <v>0</v>
      </c>
      <c r="W177" s="16" t="n">
        <f aca="false">IF(ISNUMBER(SEARCH("E4",$H177)),1,0)</f>
        <v>0</v>
      </c>
      <c r="X177" s="16" t="n">
        <f aca="false">IF(ISNUMBER(SEARCH("E5",$H177)),1,0)</f>
        <v>0</v>
      </c>
      <c r="Y177" s="16" t="n">
        <f aca="false">IF(ISNUMBER(SEARCH("E6",$H177)),1,0)</f>
        <v>0</v>
      </c>
      <c r="Z177" s="16" t="n">
        <f aca="false">IF(ISNUMBER(SEARCH("E7",$H177)),1,0)</f>
        <v>0</v>
      </c>
      <c r="AA177" s="16" t="n">
        <f aca="false">IF(ISNUMBER(SEARCH("E8",$H177)),1,0)</f>
        <v>0</v>
      </c>
      <c r="AB177" s="16" t="n">
        <f aca="false">IF(ISNUMBER(SEARCH("E9",$H177)),1,0)</f>
        <v>0</v>
      </c>
      <c r="AC177" s="16" t="n">
        <f aca="false">IF(ISNUMBER(SEARCH("TR",$H177)),1,0)</f>
        <v>1</v>
      </c>
      <c r="AD177" s="10" t="s">
        <v>161</v>
      </c>
      <c r="AE177" s="17" t="n">
        <f aca="false">IF(ISNUMBER(SEARCH("S0",$AD177)),1,0)</f>
        <v>0</v>
      </c>
      <c r="AF177" s="17" t="n">
        <f aca="false">IF(ISNUMBER(SEARCH("R01",$AD177)),1,0)</f>
        <v>0</v>
      </c>
      <c r="AG177" s="17" t="n">
        <f aca="false">IF(ISNUMBER(SEARCH("R02R03",$AD177)),1,0)</f>
        <v>0</v>
      </c>
      <c r="AH177" s="17" t="n">
        <f aca="false">IF(ISNUMBER(SEARCH("R04",$AD177)),1,0)</f>
        <v>0</v>
      </c>
      <c r="AI177" s="17" t="n">
        <f aca="false">IF(ISNUMBER(SEARCH("R05",$AD177)),1,0)</f>
        <v>0</v>
      </c>
      <c r="AJ177" s="17" t="n">
        <f aca="false">IF(ISNUMBER(SEARCH("S3R06",$AD177)),1,0)</f>
        <v>0</v>
      </c>
      <c r="AK177" s="17" t="n">
        <f aca="false">IF(ISNUMBER(SEARCH("R07",$AD177)),1,0)</f>
        <v>0</v>
      </c>
      <c r="AL177" s="17" t="n">
        <f aca="false">IF(ISNUMBER(SEARCH("R09",$AD177)),1,0)</f>
        <v>0</v>
      </c>
      <c r="AM177" s="17" t="n">
        <f aca="false">IF(ISNUMBER(SEARCH("R10",$AD177)),1,0)</f>
        <v>0</v>
      </c>
      <c r="AN177" s="17" t="n">
        <f aca="false">IF(ISNUMBER(SEARCH("S5",$AD177)),1,0)</f>
        <v>0</v>
      </c>
      <c r="AO177" s="17" t="n">
        <f aca="false">IF(ISNUMBER(SEARCH("S6",$AD177)),1,0)</f>
        <v>0</v>
      </c>
      <c r="AP177" s="17" t="n">
        <f aca="false">IF(ISNUMBER(SEARCH("TR",$AD177)),1,0)</f>
        <v>1</v>
      </c>
    </row>
  </sheetData>
  <autoFilter ref="A1:AP177"/>
  <dataValidations count="9">
    <dataValidation allowBlank="true" errorStyle="stop" operator="between" showDropDown="false" showErrorMessage="false" showInputMessage="false" sqref="E2:E376" type="list">
      <formula1>Libro_codigos!$F$2:$F$6</formula1>
      <formula2>0</formula2>
    </dataValidation>
    <dataValidation allowBlank="true" errorStyle="stop" operator="between" showDropDown="false" showErrorMessage="false" showInputMessage="false" sqref="G2:G376" type="list">
      <formula1>Libro_codigos!$G$2:$G$10</formula1>
      <formula2>0</formula2>
    </dataValidation>
    <dataValidation allowBlank="true" errorStyle="stop" operator="between" showDropDown="false" showErrorMessage="false" showInputMessage="false" sqref="I2:I376" type="list">
      <formula1>Libro_codigos!$H$2:$H$12</formula1>
      <formula2>0</formula2>
    </dataValidation>
    <dataValidation allowBlank="true" errorStyle="stop" operator="between" showDropDown="false" showErrorMessage="false" showInputMessage="false" sqref="J2:J376" type="list">
      <formula1>Libro_codigos!$I$2:$I$9</formula1>
      <formula2>0</formula2>
    </dataValidation>
    <dataValidation allowBlank="true" errorStyle="stop" operator="between" showDropDown="false" showErrorMessage="false" showInputMessage="false" sqref="L2:L376" type="list">
      <formula1>Libro_codigos!$J$2:$J$8</formula1>
      <formula2>0</formula2>
    </dataValidation>
    <dataValidation allowBlank="true" errorStyle="stop" operator="between" showDropDown="false" showErrorMessage="false" showInputMessage="false" sqref="M2:M376" type="list">
      <formula1>Libro_codigos!$K$2:$K$6</formula1>
      <formula2>0</formula2>
    </dataValidation>
    <dataValidation allowBlank="true" errorStyle="stop" operator="between" showDropDown="false" showErrorMessage="false" showInputMessage="false" sqref="N2:N376" type="list">
      <formula1>Libro_codigos!$L$2:$L$4</formula1>
      <formula2>0</formula2>
    </dataValidation>
    <dataValidation allowBlank="true" errorStyle="stop" operator="between" showDropDown="false" showErrorMessage="false" showInputMessage="false" sqref="Q2:Q376" type="list">
      <formula1>Libro_codigos!$M$2:$M$3</formula1>
      <formula2>0</formula2>
    </dataValidation>
    <dataValidation allowBlank="true" errorStyle="stop" operator="between" showDropDown="false" showErrorMessage="false" showInputMessage="false" sqref="B2:B376" type="list">
      <formula1>"Cuenta básica,AML,Directrices EBA,RGPD,AI Act,DORA,eIDAS 2,Accesibilidad,Atención al cliente 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1" min="2" style="1" width="14"/>
  </cols>
  <sheetData>
    <row r="1" customFormat="false" ht="17.25" hidden="false" customHeight="true" outlineLevel="0" collapsed="false">
      <c r="A1" s="18" t="s">
        <v>1022</v>
      </c>
    </row>
    <row r="3" customFormat="false" ht="15" hidden="false" customHeight="true" outlineLevel="0" collapsed="false">
      <c r="A3" s="8" t="s">
        <v>1023</v>
      </c>
      <c r="B3" s="10" t="n">
        <f aca="false">COUNTA(Codificacion!$A$2:$A$177)</f>
        <v>176</v>
      </c>
    </row>
    <row r="4" customFormat="false" ht="15" hidden="false" customHeight="true" outlineLevel="0" collapsed="false">
      <c r="A4" s="10" t="s">
        <v>1024</v>
      </c>
      <c r="B4" s="10" t="n">
        <f aca="false">COUNTIF(Codificacion!$Q$2:$Q$177,"Alta")</f>
        <v>176</v>
      </c>
    </row>
    <row r="5" customFormat="false" ht="15" hidden="false" customHeight="true" outlineLevel="0" collapsed="false">
      <c r="A5" s="10" t="s">
        <v>1025</v>
      </c>
      <c r="B5" s="10" t="n">
        <f aca="false">COUNTIF(Codificacion!$N$2:$N$177,"Si")+COUNTIF(Codificacion!$N$2:$N$177,"Parcial")</f>
        <v>153</v>
      </c>
      <c r="C5" s="19" t="n">
        <f aca="false">B5/B3</f>
        <v>0.869318181818182</v>
      </c>
    </row>
    <row r="6" customFormat="false" ht="15" hidden="false" customHeight="true" outlineLevel="0" collapsed="false">
      <c r="A6" s="10" t="s">
        <v>1026</v>
      </c>
      <c r="B6" s="10" t="n">
        <f aca="false">COUNTIF(Auditoria_ECG0!$I$2:$I$177,"Alta")</f>
        <v>152</v>
      </c>
      <c r="C6" s="19" t="n">
        <f aca="false">B6/B3</f>
        <v>0.863636363636364</v>
      </c>
    </row>
    <row r="7" customFormat="false" ht="15" hidden="false" customHeight="true" outlineLevel="0" collapsed="false">
      <c r="A7" s="8" t="s">
        <v>1027</v>
      </c>
    </row>
    <row r="8" customFormat="false" ht="23.25" hidden="false" customHeight="true" outlineLevel="0" collapsed="false">
      <c r="A8" s="15" t="s">
        <v>1028</v>
      </c>
      <c r="B8" s="15" t="s">
        <v>1029</v>
      </c>
      <c r="C8" s="15" t="s">
        <v>1030</v>
      </c>
      <c r="D8" s="15" t="s">
        <v>1031</v>
      </c>
      <c r="E8" s="15" t="s">
        <v>61</v>
      </c>
      <c r="F8" s="15" t="s">
        <v>72</v>
      </c>
    </row>
    <row r="9" customFormat="false" ht="15" hidden="false" customHeight="true" outlineLevel="0" collapsed="false">
      <c r="A9" s="10" t="s">
        <v>194</v>
      </c>
      <c r="B9" s="10" t="n">
        <f aca="false">COUNTIF(Codificacion!$B$2:$B$177,$A9)</f>
        <v>24</v>
      </c>
      <c r="C9" s="19" t="n">
        <f aca="false">IF($B$3=0,0,B9/$B$3)</f>
        <v>0.136363636363636</v>
      </c>
      <c r="D9" s="10" t="n">
        <f aca="false">COUNTIFS(Codificacion!$B$2:$B$177,$A9,Codificacion!$N$2:$N$177,"Si")</f>
        <v>22</v>
      </c>
      <c r="E9" s="10" t="n">
        <f aca="false">COUNTIFS(Codificacion!$B$2:$B$177,$A9,Codificacion!$N$2:$N$177,"Parcial")</f>
        <v>2</v>
      </c>
      <c r="F9" s="10" t="n">
        <f aca="false">COUNTIFS(Codificacion!$B$2:$B$177,$A9,Codificacion!$N$2:$N$177,"No")</f>
        <v>0</v>
      </c>
    </row>
    <row r="10" customFormat="false" ht="15" hidden="false" customHeight="true" outlineLevel="0" collapsed="false">
      <c r="A10" s="10" t="s">
        <v>389</v>
      </c>
      <c r="B10" s="10" t="n">
        <f aca="false">COUNTIF(Codificacion!$B$2:$B$177,$A10)</f>
        <v>42</v>
      </c>
      <c r="C10" s="19" t="n">
        <f aca="false">IF($B$3=0,0,B10/$B$3)</f>
        <v>0.238636363636364</v>
      </c>
      <c r="D10" s="10" t="n">
        <f aca="false">COUNTIFS(Codificacion!$B$2:$B$177,$A10,Codificacion!$N$2:$N$177,"Si")</f>
        <v>17</v>
      </c>
      <c r="E10" s="10" t="n">
        <f aca="false">COUNTIFS(Codificacion!$B$2:$B$177,$A10,Codificacion!$N$2:$N$177,"Parcial")</f>
        <v>22</v>
      </c>
      <c r="F10" s="10" t="n">
        <f aca="false">COUNTIFS(Codificacion!$B$2:$B$177,$A10,Codificacion!$N$2:$N$177,"No")</f>
        <v>3</v>
      </c>
    </row>
    <row r="11" customFormat="false" ht="15" hidden="false" customHeight="true" outlineLevel="0" collapsed="false">
      <c r="A11" s="10" t="s">
        <v>530</v>
      </c>
      <c r="B11" s="10" t="n">
        <f aca="false">COUNTIF(Codificacion!$B$2:$B$177,$A11)</f>
        <v>36</v>
      </c>
      <c r="C11" s="19" t="n">
        <f aca="false">IF($B$3=0,0,B11/$B$3)</f>
        <v>0.204545454545455</v>
      </c>
      <c r="D11" s="10" t="n">
        <f aca="false">COUNTIFS(Codificacion!$B$2:$B$177,$A11,Codificacion!$N$2:$N$177,"Si")</f>
        <v>18</v>
      </c>
      <c r="E11" s="10" t="n">
        <f aca="false">COUNTIFS(Codificacion!$B$2:$B$177,$A11,Codificacion!$N$2:$N$177,"Parcial")</f>
        <v>14</v>
      </c>
      <c r="F11" s="10" t="n">
        <f aca="false">COUNTIFS(Codificacion!$B$2:$B$177,$A11,Codificacion!$N$2:$N$177,"No")</f>
        <v>4</v>
      </c>
    </row>
    <row r="12" customFormat="false" ht="15" hidden="false" customHeight="true" outlineLevel="0" collapsed="false">
      <c r="A12" s="10" t="s">
        <v>758</v>
      </c>
      <c r="B12" s="10" t="n">
        <f aca="false">COUNTIF(Codificacion!$B$2:$B$177,$A12)</f>
        <v>14</v>
      </c>
      <c r="C12" s="19" t="n">
        <f aca="false">IF($B$3=0,0,B12/$B$3)</f>
        <v>0.0795454545454545</v>
      </c>
      <c r="D12" s="10" t="n">
        <f aca="false">COUNTIFS(Codificacion!$B$2:$B$177,$A12,Codificacion!$N$2:$N$177,"Si")</f>
        <v>14</v>
      </c>
      <c r="E12" s="10" t="n">
        <f aca="false">COUNTIFS(Codificacion!$B$2:$B$177,$A12,Codificacion!$N$2:$N$177,"Parcial")</f>
        <v>0</v>
      </c>
      <c r="F12" s="10" t="n">
        <f aca="false">COUNTIFS(Codificacion!$B$2:$B$177,$A12,Codificacion!$N$2:$N$177,"No")</f>
        <v>0</v>
      </c>
    </row>
    <row r="13" customFormat="false" ht="15" hidden="false" customHeight="true" outlineLevel="0" collapsed="false">
      <c r="A13" s="10" t="s">
        <v>816</v>
      </c>
      <c r="B13" s="10" t="n">
        <f aca="false">COUNTIF(Codificacion!$B$2:$B$177,$A13)</f>
        <v>17</v>
      </c>
      <c r="C13" s="19" t="n">
        <f aca="false">IF($B$3=0,0,B13/$B$3)</f>
        <v>0.0965909090909091</v>
      </c>
      <c r="D13" s="10" t="n">
        <f aca="false">COUNTIFS(Codificacion!$B$2:$B$177,$A13,Codificacion!$N$2:$N$177,"Si")</f>
        <v>12</v>
      </c>
      <c r="E13" s="10" t="n">
        <f aca="false">COUNTIFS(Codificacion!$B$2:$B$177,$A13,Codificacion!$N$2:$N$177,"Parcial")</f>
        <v>5</v>
      </c>
      <c r="F13" s="10" t="n">
        <f aca="false">COUNTIFS(Codificacion!$B$2:$B$177,$A13,Codificacion!$N$2:$N$177,"No")</f>
        <v>0</v>
      </c>
    </row>
    <row r="14" customFormat="false" ht="15" hidden="false" customHeight="true" outlineLevel="0" collapsed="false">
      <c r="A14" s="10" t="s">
        <v>896</v>
      </c>
      <c r="B14" s="10" t="n">
        <f aca="false">COUNTIF(Codificacion!$B$2:$B$177,$A14)</f>
        <v>10</v>
      </c>
      <c r="C14" s="19" t="n">
        <f aca="false">IF($B$3=0,0,B14/$B$3)</f>
        <v>0.0568181818181818</v>
      </c>
      <c r="D14" s="10" t="n">
        <f aca="false">COUNTIFS(Codificacion!$B$2:$B$177,$A14,Codificacion!$N$2:$N$177,"Si")</f>
        <v>0</v>
      </c>
      <c r="E14" s="10" t="n">
        <f aca="false">COUNTIFS(Codificacion!$B$2:$B$177,$A14,Codificacion!$N$2:$N$177,"Parcial")</f>
        <v>7</v>
      </c>
      <c r="F14" s="10" t="n">
        <f aca="false">COUNTIFS(Codificacion!$B$2:$B$177,$A14,Codificacion!$N$2:$N$177,"No")</f>
        <v>3</v>
      </c>
    </row>
    <row r="15" customFormat="false" ht="15" hidden="false" customHeight="true" outlineLevel="0" collapsed="false">
      <c r="A15" s="10" t="s">
        <v>939</v>
      </c>
      <c r="B15" s="10" t="n">
        <f aca="false">COUNTIF(Codificacion!$B$2:$B$177,$A15)</f>
        <v>2</v>
      </c>
      <c r="C15" s="19" t="n">
        <f aca="false">IF($B$3=0,0,B15/$B$3)</f>
        <v>0.0113636363636364</v>
      </c>
      <c r="D15" s="10" t="n">
        <f aca="false">COUNTIFS(Codificacion!$B$2:$B$177,$A15,Codificacion!$N$2:$N$177,"Si")</f>
        <v>1</v>
      </c>
      <c r="E15" s="10" t="n">
        <f aca="false">COUNTIFS(Codificacion!$B$2:$B$177,$A15,Codificacion!$N$2:$N$177,"Parcial")</f>
        <v>0</v>
      </c>
      <c r="F15" s="10" t="n">
        <f aca="false">COUNTIFS(Codificacion!$B$2:$B$177,$A15,Codificacion!$N$2:$N$177,"No")</f>
        <v>1</v>
      </c>
    </row>
    <row r="16" customFormat="false" ht="15" hidden="false" customHeight="true" outlineLevel="0" collapsed="false">
      <c r="A16" s="10" t="s">
        <v>952</v>
      </c>
      <c r="B16" s="10" t="n">
        <f aca="false">COUNTIF(Codificacion!$B$2:$B$177,$A16)</f>
        <v>16</v>
      </c>
      <c r="C16" s="19" t="n">
        <f aca="false">IF($B$3=0,0,B16/$B$3)</f>
        <v>0.0909090909090909</v>
      </c>
      <c r="D16" s="10" t="n">
        <f aca="false">COUNTIFS(Codificacion!$B$2:$B$177,$A16,Codificacion!$N$2:$N$177,"Si")</f>
        <v>0</v>
      </c>
      <c r="E16" s="10" t="n">
        <f aca="false">COUNTIFS(Codificacion!$B$2:$B$177,$A16,Codificacion!$N$2:$N$177,"Parcial")</f>
        <v>6</v>
      </c>
      <c r="F16" s="10" t="n">
        <f aca="false">COUNTIFS(Codificacion!$B$2:$B$177,$A16,Codificacion!$N$2:$N$177,"No")</f>
        <v>10</v>
      </c>
    </row>
    <row r="17" customFormat="false" ht="15" hidden="false" customHeight="true" outlineLevel="0" collapsed="false">
      <c r="A17" s="10" t="s">
        <v>315</v>
      </c>
      <c r="B17" s="10" t="n">
        <f aca="false">COUNTIF(Codificacion!$B$2:$B$177,$A17)</f>
        <v>15</v>
      </c>
      <c r="C17" s="19" t="n">
        <f aca="false">IF($B$3=0,0,B17/$B$3)</f>
        <v>0.0852272727272727</v>
      </c>
      <c r="D17" s="10" t="n">
        <f aca="false">COUNTIFS(Codificacion!$B$2:$B$177,$A17,Codificacion!$N$2:$N$177,"Si")</f>
        <v>2</v>
      </c>
      <c r="E17" s="10" t="n">
        <f aca="false">COUNTIFS(Codificacion!$B$2:$B$177,$A17,Codificacion!$N$2:$N$177,"Parcial")</f>
        <v>11</v>
      </c>
      <c r="F17" s="10" t="n">
        <f aca="false">COUNTIFS(Codificacion!$B$2:$B$177,$A17,Codificacion!$N$2:$N$177,"No")</f>
        <v>2</v>
      </c>
    </row>
    <row r="18" customFormat="false" ht="15" hidden="false" customHeight="true" outlineLevel="0" collapsed="false">
      <c r="A18" s="8" t="s">
        <v>1032</v>
      </c>
      <c r="B18" s="8" t="n">
        <f aca="false">SUM(B9:B17)</f>
        <v>176</v>
      </c>
      <c r="D18" s="8" t="n">
        <f aca="false">SUM(D9:D17)</f>
        <v>86</v>
      </c>
      <c r="E18" s="8" t="n">
        <f aca="false">SUM(E9:E17)</f>
        <v>67</v>
      </c>
      <c r="F18" s="8" t="n">
        <f aca="false">SUM(F9:F17)</f>
        <v>23</v>
      </c>
    </row>
    <row r="20" customFormat="false" ht="15" hidden="false" customHeight="true" outlineLevel="0" collapsed="false">
      <c r="A20" s="8" t="s">
        <v>1033</v>
      </c>
    </row>
    <row r="21" customFormat="false" ht="23.25" hidden="false" customHeight="true" outlineLevel="0" collapsed="false">
      <c r="A21" s="15" t="s">
        <v>1028</v>
      </c>
      <c r="B21" s="15" t="s">
        <v>1029</v>
      </c>
      <c r="C21" s="15" t="s">
        <v>1030</v>
      </c>
      <c r="D21" s="15" t="s">
        <v>1031</v>
      </c>
      <c r="E21" s="15" t="s">
        <v>61</v>
      </c>
      <c r="F21" s="15" t="s">
        <v>72</v>
      </c>
    </row>
    <row r="22" customFormat="false" ht="15" hidden="false" customHeight="true" outlineLevel="0" collapsed="false">
      <c r="A22" s="10" t="s">
        <v>45</v>
      </c>
      <c r="B22" s="10" t="n">
        <f aca="false">COUNTIF(Codificacion!$G$2:$G$177,$A22)</f>
        <v>32</v>
      </c>
      <c r="C22" s="19" t="n">
        <f aca="false">IF($B$3=0,0,B22/$B$3)</f>
        <v>0.181818181818182</v>
      </c>
      <c r="D22" s="10" t="n">
        <f aca="false">COUNTIFS(Codificacion!$G$2:$G$177,$A22,Codificacion!$N$2:$N$177,"Si")</f>
        <v>10</v>
      </c>
      <c r="E22" s="10" t="n">
        <f aca="false">COUNTIFS(Codificacion!$G$2:$G$177,$A22,Codificacion!$N$2:$N$177,"Parcial")</f>
        <v>17</v>
      </c>
      <c r="F22" s="10" t="n">
        <f aca="false">COUNTIFS(Codificacion!$G$2:$G$177,$A22,Codificacion!$N$2:$N$177,"No")</f>
        <v>5</v>
      </c>
    </row>
    <row r="23" customFormat="false" ht="15" hidden="false" customHeight="true" outlineLevel="0" collapsed="false">
      <c r="A23" s="10" t="s">
        <v>56</v>
      </c>
      <c r="B23" s="10" t="n">
        <f aca="false">COUNTIF(Codificacion!$G$2:$G$177,$A23)</f>
        <v>19</v>
      </c>
      <c r="C23" s="19" t="n">
        <f aca="false">IF($B$3=0,0,B23/$B$3)</f>
        <v>0.107954545454545</v>
      </c>
      <c r="D23" s="10" t="n">
        <f aca="false">COUNTIFS(Codificacion!$G$2:$G$177,$A23,Codificacion!$N$2:$N$177,"Si")</f>
        <v>11</v>
      </c>
      <c r="E23" s="10" t="n">
        <f aca="false">COUNTIFS(Codificacion!$G$2:$G$177,$A23,Codificacion!$N$2:$N$177,"Parcial")</f>
        <v>4</v>
      </c>
      <c r="F23" s="10" t="n">
        <f aca="false">COUNTIFS(Codificacion!$G$2:$G$177,$A23,Codificacion!$N$2:$N$177,"No")</f>
        <v>4</v>
      </c>
    </row>
    <row r="24" customFormat="false" ht="15" hidden="false" customHeight="true" outlineLevel="0" collapsed="false">
      <c r="A24" s="10" t="s">
        <v>67</v>
      </c>
      <c r="B24" s="10" t="n">
        <f aca="false">COUNTIF(Codificacion!$G$2:$G$177,$A24)</f>
        <v>11</v>
      </c>
      <c r="C24" s="19" t="n">
        <f aca="false">IF($B$3=0,0,B24/$B$3)</f>
        <v>0.0625</v>
      </c>
      <c r="D24" s="10" t="n">
        <f aca="false">COUNTIFS(Codificacion!$G$2:$G$177,$A24,Codificacion!$N$2:$N$177,"Si")</f>
        <v>4</v>
      </c>
      <c r="E24" s="10" t="n">
        <f aca="false">COUNTIFS(Codificacion!$G$2:$G$177,$A24,Codificacion!$N$2:$N$177,"Parcial")</f>
        <v>2</v>
      </c>
      <c r="F24" s="10" t="n">
        <f aca="false">COUNTIFS(Codificacion!$G$2:$G$177,$A24,Codificacion!$N$2:$N$177,"No")</f>
        <v>5</v>
      </c>
    </row>
    <row r="25" customFormat="false" ht="15" hidden="false" customHeight="true" outlineLevel="0" collapsed="false">
      <c r="A25" s="10" t="s">
        <v>76</v>
      </c>
      <c r="B25" s="10" t="n">
        <f aca="false">COUNTIF(Codificacion!$G$2:$G$177,$A25)</f>
        <v>36</v>
      </c>
      <c r="C25" s="19" t="n">
        <f aca="false">IF($B$3=0,0,B25/$B$3)</f>
        <v>0.204545454545455</v>
      </c>
      <c r="D25" s="10" t="n">
        <f aca="false">COUNTIFS(Codificacion!$G$2:$G$177,$A25,Codificacion!$N$2:$N$177,"Si")</f>
        <v>22</v>
      </c>
      <c r="E25" s="10" t="n">
        <f aca="false">COUNTIFS(Codificacion!$G$2:$G$177,$A25,Codificacion!$N$2:$N$177,"Parcial")</f>
        <v>12</v>
      </c>
      <c r="F25" s="10" t="n">
        <f aca="false">COUNTIFS(Codificacion!$G$2:$G$177,$A25,Codificacion!$N$2:$N$177,"No")</f>
        <v>2</v>
      </c>
    </row>
    <row r="26" customFormat="false" ht="15" hidden="false" customHeight="true" outlineLevel="0" collapsed="false">
      <c r="A26" s="10" t="s">
        <v>84</v>
      </c>
      <c r="B26" s="10" t="n">
        <f aca="false">COUNTIF(Codificacion!$G$2:$G$177,$A26)</f>
        <v>8</v>
      </c>
      <c r="C26" s="19" t="n">
        <f aca="false">IF($B$3=0,0,B26/$B$3)</f>
        <v>0.0454545454545455</v>
      </c>
      <c r="D26" s="10" t="n">
        <f aca="false">COUNTIFS(Codificacion!$G$2:$G$177,$A26,Codificacion!$N$2:$N$177,"Si")</f>
        <v>5</v>
      </c>
      <c r="E26" s="10" t="n">
        <f aca="false">COUNTIFS(Codificacion!$G$2:$G$177,$A26,Codificacion!$N$2:$N$177,"Parcial")</f>
        <v>2</v>
      </c>
      <c r="F26" s="10" t="n">
        <f aca="false">COUNTIFS(Codificacion!$G$2:$G$177,$A26,Codificacion!$N$2:$N$177,"No")</f>
        <v>1</v>
      </c>
    </row>
    <row r="27" customFormat="false" ht="15" hidden="false" customHeight="true" outlineLevel="0" collapsed="false">
      <c r="A27" s="10" t="s">
        <v>92</v>
      </c>
      <c r="B27" s="10" t="n">
        <f aca="false">COUNTIF(Codificacion!$G$2:$G$177,$A27)</f>
        <v>32</v>
      </c>
      <c r="C27" s="19" t="n">
        <f aca="false">IF($B$3=0,0,B27/$B$3)</f>
        <v>0.181818181818182</v>
      </c>
      <c r="D27" s="10" t="n">
        <f aca="false">COUNTIFS(Codificacion!$G$2:$G$177,$A27,Codificacion!$N$2:$N$177,"Si")</f>
        <v>9</v>
      </c>
      <c r="E27" s="10" t="n">
        <f aca="false">COUNTIFS(Codificacion!$G$2:$G$177,$A27,Codificacion!$N$2:$N$177,"Parcial")</f>
        <v>17</v>
      </c>
      <c r="F27" s="10" t="n">
        <f aca="false">COUNTIFS(Codificacion!$G$2:$G$177,$A27,Codificacion!$N$2:$N$177,"No")</f>
        <v>6</v>
      </c>
    </row>
    <row r="28" customFormat="false" ht="15" hidden="false" customHeight="true" outlineLevel="0" collapsed="false">
      <c r="A28" s="10" t="s">
        <v>98</v>
      </c>
      <c r="B28" s="10" t="n">
        <f aca="false">COUNTIF(Codificacion!$G$2:$G$177,$A28)</f>
        <v>13</v>
      </c>
      <c r="C28" s="19" t="n">
        <f aca="false">IF($B$3=0,0,B28/$B$3)</f>
        <v>0.0738636363636364</v>
      </c>
      <c r="D28" s="10" t="n">
        <f aca="false">COUNTIFS(Codificacion!$G$2:$G$177,$A28,Codificacion!$N$2:$N$177,"Si")</f>
        <v>9</v>
      </c>
      <c r="E28" s="10" t="n">
        <f aca="false">COUNTIFS(Codificacion!$G$2:$G$177,$A28,Codificacion!$N$2:$N$177,"Parcial")</f>
        <v>4</v>
      </c>
      <c r="F28" s="10" t="n">
        <f aca="false">COUNTIFS(Codificacion!$G$2:$G$177,$A28,Codificacion!$N$2:$N$177,"No")</f>
        <v>0</v>
      </c>
    </row>
    <row r="29" customFormat="false" ht="15" hidden="false" customHeight="true" outlineLevel="0" collapsed="false">
      <c r="A29" s="10" t="s">
        <v>105</v>
      </c>
      <c r="B29" s="10" t="n">
        <f aca="false">COUNTIF(Codificacion!$G$2:$G$177,$A29)</f>
        <v>2</v>
      </c>
      <c r="C29" s="19" t="n">
        <f aca="false">IF($B$3=0,0,B29/$B$3)</f>
        <v>0.0113636363636364</v>
      </c>
      <c r="D29" s="10" t="n">
        <f aca="false">COUNTIFS(Codificacion!$G$2:$G$177,$A29,Codificacion!$N$2:$N$177,"Si")</f>
        <v>0</v>
      </c>
      <c r="E29" s="10" t="n">
        <f aca="false">COUNTIFS(Codificacion!$G$2:$G$177,$A29,Codificacion!$N$2:$N$177,"Parcial")</f>
        <v>2</v>
      </c>
      <c r="F29" s="10" t="n">
        <f aca="false">COUNTIFS(Codificacion!$G$2:$G$177,$A29,Codificacion!$N$2:$N$177,"No")</f>
        <v>0</v>
      </c>
    </row>
    <row r="30" customFormat="false" ht="15" hidden="false" customHeight="true" outlineLevel="0" collapsed="false">
      <c r="A30" s="10" t="s">
        <v>110</v>
      </c>
      <c r="B30" s="10" t="n">
        <f aca="false">COUNTIF(Codificacion!$G$2:$G$177,$A30)</f>
        <v>23</v>
      </c>
      <c r="C30" s="19" t="n">
        <f aca="false">IF($B$3=0,0,B30/$B$3)</f>
        <v>0.130681818181818</v>
      </c>
      <c r="D30" s="10" t="n">
        <f aca="false">COUNTIFS(Codificacion!$G$2:$G$177,$A30,Codificacion!$N$2:$N$177,"Si")</f>
        <v>16</v>
      </c>
      <c r="E30" s="10" t="n">
        <f aca="false">COUNTIFS(Codificacion!$G$2:$G$177,$A30,Codificacion!$N$2:$N$177,"Parcial")</f>
        <v>7</v>
      </c>
      <c r="F30" s="10" t="n">
        <f aca="false">COUNTIFS(Codificacion!$G$2:$G$177,$A30,Codificacion!$N$2:$N$177,"No")</f>
        <v>0</v>
      </c>
    </row>
    <row r="31" customFormat="false" ht="15" hidden="false" customHeight="true" outlineLevel="0" collapsed="false">
      <c r="A31" s="8" t="s">
        <v>1032</v>
      </c>
      <c r="B31" s="8" t="n">
        <f aca="false">SUM(B22:B30)</f>
        <v>176</v>
      </c>
      <c r="D31" s="8" t="n">
        <f aca="false">SUM(D22:D30)</f>
        <v>86</v>
      </c>
      <c r="E31" s="8" t="n">
        <f aca="false">SUM(E22:E30)</f>
        <v>67</v>
      </c>
      <c r="F31" s="8" t="n">
        <f aca="false">SUM(F22:F30)</f>
        <v>23</v>
      </c>
    </row>
    <row r="33" customFormat="false" ht="15" hidden="false" customHeight="true" outlineLevel="0" collapsed="false">
      <c r="A33" s="8" t="s">
        <v>1034</v>
      </c>
    </row>
    <row r="34" customFormat="false" ht="23.25" hidden="false" customHeight="true" outlineLevel="0" collapsed="false">
      <c r="A34" s="15" t="s">
        <v>1028</v>
      </c>
      <c r="B34" s="15" t="s">
        <v>1029</v>
      </c>
      <c r="C34" s="15" t="s">
        <v>1030</v>
      </c>
      <c r="D34" s="15" t="s">
        <v>1031</v>
      </c>
      <c r="E34" s="15" t="s">
        <v>61</v>
      </c>
      <c r="F34" s="15" t="s">
        <v>72</v>
      </c>
    </row>
    <row r="35" customFormat="false" ht="15" hidden="false" customHeight="true" outlineLevel="0" collapsed="false">
      <c r="A35" s="10" t="s">
        <v>47</v>
      </c>
      <c r="B35" s="10" t="n">
        <f aca="false">COUNTIF(Codificacion!$J$2:$J$177,$A35)</f>
        <v>52</v>
      </c>
      <c r="C35" s="19" t="n">
        <f aca="false">IF($B$3=0,0,B35/$B$3)</f>
        <v>0.295454545454545</v>
      </c>
      <c r="D35" s="10" t="n">
        <f aca="false">COUNTIFS(Codificacion!$J$2:$J$177,$A35,Codificacion!$N$2:$N$177,"Si")</f>
        <v>19</v>
      </c>
      <c r="E35" s="10" t="n">
        <f aca="false">COUNTIFS(Codificacion!$J$2:$J$177,$A35,Codificacion!$N$2:$N$177,"Parcial")</f>
        <v>27</v>
      </c>
      <c r="F35" s="10" t="n">
        <f aca="false">COUNTIFS(Codificacion!$J$2:$J$177,$A35,Codificacion!$N$2:$N$177,"No")</f>
        <v>6</v>
      </c>
    </row>
    <row r="36" customFormat="false" ht="15" hidden="false" customHeight="true" outlineLevel="0" collapsed="false">
      <c r="A36" s="10" t="s">
        <v>58</v>
      </c>
      <c r="B36" s="10" t="n">
        <f aca="false">COUNTIF(Codificacion!$J$2:$J$177,$A36)</f>
        <v>8</v>
      </c>
      <c r="C36" s="19" t="n">
        <f aca="false">IF($B$3=0,0,B36/$B$3)</f>
        <v>0.0454545454545455</v>
      </c>
      <c r="D36" s="10" t="n">
        <f aca="false">COUNTIFS(Codificacion!$J$2:$J$177,$A36,Codificacion!$N$2:$N$177,"Si")</f>
        <v>6</v>
      </c>
      <c r="E36" s="10" t="n">
        <f aca="false">COUNTIFS(Codificacion!$J$2:$J$177,$A36,Codificacion!$N$2:$N$177,"Parcial")</f>
        <v>1</v>
      </c>
      <c r="F36" s="10" t="n">
        <f aca="false">COUNTIFS(Codificacion!$J$2:$J$177,$A36,Codificacion!$N$2:$N$177,"No")</f>
        <v>1</v>
      </c>
    </row>
    <row r="37" customFormat="false" ht="15" hidden="false" customHeight="true" outlineLevel="0" collapsed="false">
      <c r="A37" s="10" t="s">
        <v>69</v>
      </c>
      <c r="B37" s="10" t="n">
        <f aca="false">COUNTIF(Codificacion!$J$2:$J$177,$A37)</f>
        <v>13</v>
      </c>
      <c r="C37" s="19" t="n">
        <f aca="false">IF($B$3=0,0,B37/$B$3)</f>
        <v>0.0738636363636364</v>
      </c>
      <c r="D37" s="10" t="n">
        <f aca="false">COUNTIFS(Codificacion!$J$2:$J$177,$A37,Codificacion!$N$2:$N$177,"Si")</f>
        <v>7</v>
      </c>
      <c r="E37" s="10" t="n">
        <f aca="false">COUNTIFS(Codificacion!$J$2:$J$177,$A37,Codificacion!$N$2:$N$177,"Parcial")</f>
        <v>3</v>
      </c>
      <c r="F37" s="10" t="n">
        <f aca="false">COUNTIFS(Codificacion!$J$2:$J$177,$A37,Codificacion!$N$2:$N$177,"No")</f>
        <v>3</v>
      </c>
    </row>
    <row r="38" customFormat="false" ht="15" hidden="false" customHeight="true" outlineLevel="0" collapsed="false">
      <c r="A38" s="10" t="s">
        <v>78</v>
      </c>
      <c r="B38" s="10" t="n">
        <f aca="false">COUNTIF(Codificacion!$J$2:$J$177,$A38)</f>
        <v>42</v>
      </c>
      <c r="C38" s="19" t="n">
        <f aca="false">IF($B$3=0,0,B38/$B$3)</f>
        <v>0.238636363636364</v>
      </c>
      <c r="D38" s="10" t="n">
        <f aca="false">COUNTIFS(Codificacion!$J$2:$J$177,$A38,Codificacion!$N$2:$N$177,"Si")</f>
        <v>21</v>
      </c>
      <c r="E38" s="10" t="n">
        <f aca="false">COUNTIFS(Codificacion!$J$2:$J$177,$A38,Codificacion!$N$2:$N$177,"Parcial")</f>
        <v>12</v>
      </c>
      <c r="F38" s="10" t="n">
        <f aca="false">COUNTIFS(Codificacion!$J$2:$J$177,$A38,Codificacion!$N$2:$N$177,"No")</f>
        <v>9</v>
      </c>
    </row>
    <row r="39" customFormat="false" ht="15" hidden="false" customHeight="true" outlineLevel="0" collapsed="false">
      <c r="A39" s="10" t="s">
        <v>86</v>
      </c>
      <c r="B39" s="10" t="n">
        <f aca="false">COUNTIF(Codificacion!$J$2:$J$177,$A39)</f>
        <v>20</v>
      </c>
      <c r="C39" s="19" t="n">
        <f aca="false">IF($B$3=0,0,B39/$B$3)</f>
        <v>0.113636363636364</v>
      </c>
      <c r="D39" s="10" t="n">
        <f aca="false">COUNTIFS(Codificacion!$J$2:$J$177,$A39,Codificacion!$N$2:$N$177,"Si")</f>
        <v>16</v>
      </c>
      <c r="E39" s="10" t="n">
        <f aca="false">COUNTIFS(Codificacion!$J$2:$J$177,$A39,Codificacion!$N$2:$N$177,"Parcial")</f>
        <v>3</v>
      </c>
      <c r="F39" s="10" t="n">
        <f aca="false">COUNTIFS(Codificacion!$J$2:$J$177,$A39,Codificacion!$N$2:$N$177,"No")</f>
        <v>1</v>
      </c>
    </row>
    <row r="40" customFormat="false" ht="15" hidden="false" customHeight="true" outlineLevel="0" collapsed="false">
      <c r="A40" s="10" t="s">
        <v>94</v>
      </c>
      <c r="B40" s="10" t="n">
        <f aca="false">COUNTIF(Codificacion!$J$2:$J$177,$A40)</f>
        <v>15</v>
      </c>
      <c r="C40" s="19" t="n">
        <f aca="false">IF($B$3=0,0,B40/$B$3)</f>
        <v>0.0852272727272727</v>
      </c>
      <c r="D40" s="10" t="n">
        <f aca="false">COUNTIFS(Codificacion!$J$2:$J$177,$A40,Codificacion!$N$2:$N$177,"Si")</f>
        <v>11</v>
      </c>
      <c r="E40" s="10" t="n">
        <f aca="false">COUNTIFS(Codificacion!$J$2:$J$177,$A40,Codificacion!$N$2:$N$177,"Parcial")</f>
        <v>4</v>
      </c>
      <c r="F40" s="10" t="n">
        <f aca="false">COUNTIFS(Codificacion!$J$2:$J$177,$A40,Codificacion!$N$2:$N$177,"No")</f>
        <v>0</v>
      </c>
    </row>
    <row r="41" customFormat="false" ht="15" hidden="false" customHeight="true" outlineLevel="0" collapsed="false">
      <c r="A41" s="10" t="s">
        <v>100</v>
      </c>
      <c r="B41" s="10" t="n">
        <f aca="false">COUNTIF(Codificacion!$J$2:$J$177,$A41)</f>
        <v>11</v>
      </c>
      <c r="C41" s="19" t="n">
        <f aca="false">IF($B$3=0,0,B41/$B$3)</f>
        <v>0.0625</v>
      </c>
      <c r="D41" s="10" t="n">
        <f aca="false">COUNTIFS(Codificacion!$J$2:$J$177,$A41,Codificacion!$N$2:$N$177,"Si")</f>
        <v>0</v>
      </c>
      <c r="E41" s="10" t="n">
        <f aca="false">COUNTIFS(Codificacion!$J$2:$J$177,$A41,Codificacion!$N$2:$N$177,"Parcial")</f>
        <v>8</v>
      </c>
      <c r="F41" s="10" t="n">
        <f aca="false">COUNTIFS(Codificacion!$J$2:$J$177,$A41,Codificacion!$N$2:$N$177,"No")</f>
        <v>3</v>
      </c>
    </row>
    <row r="42" customFormat="false" ht="15" hidden="false" customHeight="true" outlineLevel="0" collapsed="false">
      <c r="A42" s="10" t="s">
        <v>107</v>
      </c>
      <c r="B42" s="10" t="n">
        <f aca="false">COUNTIF(Codificacion!$J$2:$J$177,$A42)</f>
        <v>15</v>
      </c>
      <c r="C42" s="19" t="n">
        <f aca="false">IF($B$3=0,0,B42/$B$3)</f>
        <v>0.0852272727272727</v>
      </c>
      <c r="D42" s="10" t="n">
        <f aca="false">COUNTIFS(Codificacion!$J$2:$J$177,$A42,Codificacion!$N$2:$N$177,"Si")</f>
        <v>6</v>
      </c>
      <c r="E42" s="10" t="n">
        <f aca="false">COUNTIFS(Codificacion!$J$2:$J$177,$A42,Codificacion!$N$2:$N$177,"Parcial")</f>
        <v>9</v>
      </c>
      <c r="F42" s="10" t="n">
        <f aca="false">COUNTIFS(Codificacion!$J$2:$J$177,$A42,Codificacion!$N$2:$N$177,"No")</f>
        <v>0</v>
      </c>
    </row>
    <row r="43" customFormat="false" ht="15" hidden="false" customHeight="true" outlineLevel="0" collapsed="false">
      <c r="A43" s="8" t="s">
        <v>1032</v>
      </c>
      <c r="B43" s="8" t="n">
        <f aca="false">SUM(B35:B42)</f>
        <v>176</v>
      </c>
      <c r="D43" s="8" t="n">
        <f aca="false">SUM(D35:D42)</f>
        <v>86</v>
      </c>
      <c r="E43" s="8" t="n">
        <f aca="false">SUM(E35:E42)</f>
        <v>67</v>
      </c>
      <c r="F43" s="8" t="n">
        <f aca="false">SUM(F35:F42)</f>
        <v>23</v>
      </c>
    </row>
    <row r="45" customFormat="false" ht="15" hidden="false" customHeight="true" outlineLevel="0" collapsed="false">
      <c r="A45" s="8" t="s">
        <v>1035</v>
      </c>
    </row>
    <row r="46" customFormat="false" ht="15" hidden="false" customHeight="true" outlineLevel="0" collapsed="false">
      <c r="A46" s="20" t="s">
        <v>1036</v>
      </c>
    </row>
    <row r="47" customFormat="false" ht="42" hidden="false" customHeight="true" outlineLevel="0" collapsed="false">
      <c r="A47" s="21" t="s">
        <v>1037</v>
      </c>
      <c r="B47" s="21" t="s">
        <v>194</v>
      </c>
      <c r="C47" s="21" t="s">
        <v>389</v>
      </c>
      <c r="D47" s="21" t="s">
        <v>530</v>
      </c>
      <c r="E47" s="21" t="s">
        <v>758</v>
      </c>
      <c r="F47" s="21" t="s">
        <v>816</v>
      </c>
      <c r="G47" s="21" t="s">
        <v>896</v>
      </c>
      <c r="H47" s="21" t="s">
        <v>939</v>
      </c>
      <c r="I47" s="21" t="s">
        <v>952</v>
      </c>
      <c r="J47" s="21" t="s">
        <v>315</v>
      </c>
      <c r="K47" s="21" t="s">
        <v>1038</v>
      </c>
      <c r="L47" s="21" t="s">
        <v>1039</v>
      </c>
    </row>
    <row r="48" customFormat="false" ht="15" hidden="false" customHeight="true" outlineLevel="0" collapsed="false">
      <c r="A48" s="10" t="s">
        <v>46</v>
      </c>
      <c r="B48" s="22" t="n">
        <f aca="false">COUNTIFS(Codificacion!$I$2:$I$177,$A48,Codificacion!$B$2:$B$177,"Cuenta básica")</f>
        <v>1</v>
      </c>
      <c r="C48" s="22" t="n">
        <f aca="false">COUNTIFS(Codificacion!$I$2:$I$177,$A48,Codificacion!$B$2:$B$177,"AML")</f>
        <v>5</v>
      </c>
      <c r="D48" s="22" t="n">
        <f aca="false">COUNTIFS(Codificacion!$I$2:$I$177,$A48,Codificacion!$B$2:$B$177,"Directrices EBA")</f>
        <v>1</v>
      </c>
      <c r="E48" s="22" t="n">
        <f aca="false">COUNTIFS(Codificacion!$I$2:$I$177,$A48,Codificacion!$B$2:$B$177,"RGPD")</f>
        <v>1</v>
      </c>
      <c r="F48" s="22" t="n">
        <f aca="false">COUNTIFS(Codificacion!$I$2:$I$177,$A48,Codificacion!$B$2:$B$177,"AI Act")</f>
        <v>0</v>
      </c>
      <c r="G48" s="22" t="n">
        <f aca="false">COUNTIFS(Codificacion!$I$2:$I$177,$A48,Codificacion!$B$2:$B$177,"DORA")</f>
        <v>0</v>
      </c>
      <c r="H48" s="22" t="n">
        <f aca="false">COUNTIFS(Codificacion!$I$2:$I$177,$A48,Codificacion!$B$2:$B$177,"eIDAS 2")</f>
        <v>1</v>
      </c>
      <c r="I48" s="22" t="n">
        <f aca="false">COUNTIFS(Codificacion!$I$2:$I$177,$A48,Codificacion!$B$2:$B$177,"Accesibilidad")</f>
        <v>1</v>
      </c>
      <c r="J48" s="22" t="n">
        <f aca="false">COUNTIFS(Codificacion!$I$2:$I$177,$A48,Codificacion!$B$2:$B$177,"Atención al cliente ES")</f>
        <v>0</v>
      </c>
      <c r="K48" s="8" t="n">
        <f aca="false">COUNTIF(B48:J48,"&gt;0")</f>
        <v>6</v>
      </c>
      <c r="L48" s="8" t="n">
        <f aca="false">(COUNTIFS(Codificacion!$I$2:$I$177,$A48,Codificacion!$J$2:$J$177,"Diligencia_debida_AML")&gt;0)+(COUNTIFS(Codificacion!$I$2:$I$177,$A48,Codificacion!$J$2:$J$177,"Prevencion_fraude")&gt;0)+(COUNTIFS(Codificacion!$I$2:$I$177,$A48,Codificacion!$J$2:$J$177,"Transparencia_consumidor")&gt;0)+(COUNTIFS(Codificacion!$I$2:$I$177,$A48,Codificacion!$J$2:$J$177,"Acceso_inclusion")&gt;0)+(COUNTIFS(Codificacion!$I$2:$I$177,$A48,Codificacion!$J$2:$J$177,"Proteccion_datos")&gt;0)+(COUNTIFS(Codificacion!$I$2:$I$177,$A48,Codificacion!$J$2:$J$177,"Trazabilidad_IA")&gt;0)+(COUNTIFS(Codificacion!$I$2:$I$177,$A48,Codificacion!$J$2:$J$177,"Resiliencia_operativa")&gt;0)+(COUNTIFS(Codificacion!$I$2:$I$177,$A48,Codificacion!$J$2:$J$177,"Reclamaciones")&gt;0)</f>
        <v>3</v>
      </c>
    </row>
    <row r="49" customFormat="false" ht="15" hidden="false" customHeight="true" outlineLevel="0" collapsed="false">
      <c r="A49" s="10" t="s">
        <v>57</v>
      </c>
      <c r="B49" s="22" t="n">
        <f aca="false">COUNTIFS(Codificacion!$I$2:$I$177,$A49,Codificacion!$B$2:$B$177,"Cuenta básica")</f>
        <v>0</v>
      </c>
      <c r="C49" s="22" t="n">
        <f aca="false">COUNTIFS(Codificacion!$I$2:$I$177,$A49,Codificacion!$B$2:$B$177,"AML")</f>
        <v>4</v>
      </c>
      <c r="D49" s="22" t="n">
        <f aca="false">COUNTIFS(Codificacion!$I$2:$I$177,$A49,Codificacion!$B$2:$B$177,"Directrices EBA")</f>
        <v>4</v>
      </c>
      <c r="E49" s="22" t="n">
        <f aca="false">COUNTIFS(Codificacion!$I$2:$I$177,$A49,Codificacion!$B$2:$B$177,"RGPD")</f>
        <v>0</v>
      </c>
      <c r="F49" s="22" t="n">
        <f aca="false">COUNTIFS(Codificacion!$I$2:$I$177,$A49,Codificacion!$B$2:$B$177,"AI Act")</f>
        <v>0</v>
      </c>
      <c r="G49" s="22" t="n">
        <f aca="false">COUNTIFS(Codificacion!$I$2:$I$177,$A49,Codificacion!$B$2:$B$177,"DORA")</f>
        <v>0</v>
      </c>
      <c r="H49" s="22" t="n">
        <f aca="false">COUNTIFS(Codificacion!$I$2:$I$177,$A49,Codificacion!$B$2:$B$177,"eIDAS 2")</f>
        <v>0</v>
      </c>
      <c r="I49" s="22" t="n">
        <f aca="false">COUNTIFS(Codificacion!$I$2:$I$177,$A49,Codificacion!$B$2:$B$177,"Accesibilidad")</f>
        <v>0</v>
      </c>
      <c r="J49" s="22" t="n">
        <f aca="false">COUNTIFS(Codificacion!$I$2:$I$177,$A49,Codificacion!$B$2:$B$177,"Atención al cliente ES")</f>
        <v>0</v>
      </c>
      <c r="K49" s="8" t="n">
        <f aca="false">COUNTIF(B49:J49,"&gt;0")</f>
        <v>2</v>
      </c>
      <c r="L49" s="8" t="n">
        <f aca="false">(COUNTIFS(Codificacion!$I$2:$I$177,$A49,Codificacion!$J$2:$J$177,"Diligencia_debida_AML")&gt;0)+(COUNTIFS(Codificacion!$I$2:$I$177,$A49,Codificacion!$J$2:$J$177,"Prevencion_fraude")&gt;0)+(COUNTIFS(Codificacion!$I$2:$I$177,$A49,Codificacion!$J$2:$J$177,"Transparencia_consumidor")&gt;0)+(COUNTIFS(Codificacion!$I$2:$I$177,$A49,Codificacion!$J$2:$J$177,"Acceso_inclusion")&gt;0)+(COUNTIFS(Codificacion!$I$2:$I$177,$A49,Codificacion!$J$2:$J$177,"Proteccion_datos")&gt;0)+(COUNTIFS(Codificacion!$I$2:$I$177,$A49,Codificacion!$J$2:$J$177,"Trazabilidad_IA")&gt;0)+(COUNTIFS(Codificacion!$I$2:$I$177,$A49,Codificacion!$J$2:$J$177,"Resiliencia_operativa")&gt;0)+(COUNTIFS(Codificacion!$I$2:$I$177,$A49,Codificacion!$J$2:$J$177,"Reclamaciones")&gt;0)</f>
        <v>2</v>
      </c>
    </row>
    <row r="50" customFormat="false" ht="15" hidden="false" customHeight="true" outlineLevel="0" collapsed="false">
      <c r="A50" s="10" t="s">
        <v>68</v>
      </c>
      <c r="B50" s="22" t="n">
        <f aca="false">COUNTIFS(Codificacion!$I$2:$I$177,$A50,Codificacion!$B$2:$B$177,"Cuenta básica")</f>
        <v>3</v>
      </c>
      <c r="C50" s="22" t="n">
        <f aca="false">COUNTIFS(Codificacion!$I$2:$I$177,$A50,Codificacion!$B$2:$B$177,"AML")</f>
        <v>9</v>
      </c>
      <c r="D50" s="22" t="n">
        <f aca="false">COUNTIFS(Codificacion!$I$2:$I$177,$A50,Codificacion!$B$2:$B$177,"Directrices EBA")</f>
        <v>5</v>
      </c>
      <c r="E50" s="22" t="n">
        <f aca="false">COUNTIFS(Codificacion!$I$2:$I$177,$A50,Codificacion!$B$2:$B$177,"RGPD")</f>
        <v>0</v>
      </c>
      <c r="F50" s="22" t="n">
        <f aca="false">COUNTIFS(Codificacion!$I$2:$I$177,$A50,Codificacion!$B$2:$B$177,"AI Act")</f>
        <v>0</v>
      </c>
      <c r="G50" s="22" t="n">
        <f aca="false">COUNTIFS(Codificacion!$I$2:$I$177,$A50,Codificacion!$B$2:$B$177,"DORA")</f>
        <v>0</v>
      </c>
      <c r="H50" s="22" t="n">
        <f aca="false">COUNTIFS(Codificacion!$I$2:$I$177,$A50,Codificacion!$B$2:$B$177,"eIDAS 2")</f>
        <v>0</v>
      </c>
      <c r="I50" s="22" t="n">
        <f aca="false">COUNTIFS(Codificacion!$I$2:$I$177,$A50,Codificacion!$B$2:$B$177,"Accesibilidad")</f>
        <v>0</v>
      </c>
      <c r="J50" s="22" t="n">
        <f aca="false">COUNTIFS(Codificacion!$I$2:$I$177,$A50,Codificacion!$B$2:$B$177,"Atención al cliente ES")</f>
        <v>0</v>
      </c>
      <c r="K50" s="8" t="n">
        <f aca="false">COUNTIF(B50:J50,"&gt;0")</f>
        <v>3</v>
      </c>
      <c r="L50" s="8" t="n">
        <f aca="false">(COUNTIFS(Codificacion!$I$2:$I$177,$A50,Codificacion!$J$2:$J$177,"Diligencia_debida_AML")&gt;0)+(COUNTIFS(Codificacion!$I$2:$I$177,$A50,Codificacion!$J$2:$J$177,"Prevencion_fraude")&gt;0)+(COUNTIFS(Codificacion!$I$2:$I$177,$A50,Codificacion!$J$2:$J$177,"Transparencia_consumidor")&gt;0)+(COUNTIFS(Codificacion!$I$2:$I$177,$A50,Codificacion!$J$2:$J$177,"Acceso_inclusion")&gt;0)+(COUNTIFS(Codificacion!$I$2:$I$177,$A50,Codificacion!$J$2:$J$177,"Proteccion_datos")&gt;0)+(COUNTIFS(Codificacion!$I$2:$I$177,$A50,Codificacion!$J$2:$J$177,"Trazabilidad_IA")&gt;0)+(COUNTIFS(Codificacion!$I$2:$I$177,$A50,Codificacion!$J$2:$J$177,"Resiliencia_operativa")&gt;0)+(COUNTIFS(Codificacion!$I$2:$I$177,$A50,Codificacion!$J$2:$J$177,"Reclamaciones")&gt;0)</f>
        <v>3</v>
      </c>
    </row>
    <row r="51" customFormat="false" ht="15" hidden="false" customHeight="true" outlineLevel="0" collapsed="false">
      <c r="A51" s="10" t="s">
        <v>77</v>
      </c>
      <c r="B51" s="22" t="n">
        <f aca="false">COUNTIFS(Codificacion!$I$2:$I$177,$A51,Codificacion!$B$2:$B$177,"Cuenta básica")</f>
        <v>11</v>
      </c>
      <c r="C51" s="22" t="n">
        <f aca="false">COUNTIFS(Codificacion!$I$2:$I$177,$A51,Codificacion!$B$2:$B$177,"AML")</f>
        <v>9</v>
      </c>
      <c r="D51" s="22" t="n">
        <f aca="false">COUNTIFS(Codificacion!$I$2:$I$177,$A51,Codificacion!$B$2:$B$177,"Directrices EBA")</f>
        <v>5</v>
      </c>
      <c r="E51" s="22" t="n">
        <f aca="false">COUNTIFS(Codificacion!$I$2:$I$177,$A51,Codificacion!$B$2:$B$177,"RGPD")</f>
        <v>1</v>
      </c>
      <c r="F51" s="22" t="n">
        <f aca="false">COUNTIFS(Codificacion!$I$2:$I$177,$A51,Codificacion!$B$2:$B$177,"AI Act")</f>
        <v>1</v>
      </c>
      <c r="G51" s="22" t="n">
        <f aca="false">COUNTIFS(Codificacion!$I$2:$I$177,$A51,Codificacion!$B$2:$B$177,"DORA")</f>
        <v>0</v>
      </c>
      <c r="H51" s="22" t="n">
        <f aca="false">COUNTIFS(Codificacion!$I$2:$I$177,$A51,Codificacion!$B$2:$B$177,"eIDAS 2")</f>
        <v>0</v>
      </c>
      <c r="I51" s="22" t="n">
        <f aca="false">COUNTIFS(Codificacion!$I$2:$I$177,$A51,Codificacion!$B$2:$B$177,"Accesibilidad")</f>
        <v>0</v>
      </c>
      <c r="J51" s="22" t="n">
        <f aca="false">COUNTIFS(Codificacion!$I$2:$I$177,$A51,Codificacion!$B$2:$B$177,"Atención al cliente ES")</f>
        <v>8</v>
      </c>
      <c r="K51" s="8" t="n">
        <f aca="false">COUNTIF(B51:J51,"&gt;0")</f>
        <v>6</v>
      </c>
      <c r="L51" s="8" t="n">
        <f aca="false">(COUNTIFS(Codificacion!$I$2:$I$177,$A51,Codificacion!$J$2:$J$177,"Diligencia_debida_AML")&gt;0)+(COUNTIFS(Codificacion!$I$2:$I$177,$A51,Codificacion!$J$2:$J$177,"Prevencion_fraude")&gt;0)+(COUNTIFS(Codificacion!$I$2:$I$177,$A51,Codificacion!$J$2:$J$177,"Transparencia_consumidor")&gt;0)+(COUNTIFS(Codificacion!$I$2:$I$177,$A51,Codificacion!$J$2:$J$177,"Acceso_inclusion")&gt;0)+(COUNTIFS(Codificacion!$I$2:$I$177,$A51,Codificacion!$J$2:$J$177,"Proteccion_datos")&gt;0)+(COUNTIFS(Codificacion!$I$2:$I$177,$A51,Codificacion!$J$2:$J$177,"Trazabilidad_IA")&gt;0)+(COUNTIFS(Codificacion!$I$2:$I$177,$A51,Codificacion!$J$2:$J$177,"Resiliencia_operativa")&gt;0)+(COUNTIFS(Codificacion!$I$2:$I$177,$A51,Codificacion!$J$2:$J$177,"Reclamaciones")&gt;0)</f>
        <v>5</v>
      </c>
    </row>
    <row r="52" customFormat="false" ht="15" hidden="false" customHeight="true" outlineLevel="0" collapsed="false">
      <c r="A52" s="10" t="s">
        <v>85</v>
      </c>
      <c r="B52" s="22" t="n">
        <f aca="false">COUNTIFS(Codificacion!$I$2:$I$177,$A52,Codificacion!$B$2:$B$177,"Cuenta básica")</f>
        <v>0</v>
      </c>
      <c r="C52" s="22" t="n">
        <f aca="false">COUNTIFS(Codificacion!$I$2:$I$177,$A52,Codificacion!$B$2:$B$177,"AML")</f>
        <v>0</v>
      </c>
      <c r="D52" s="22" t="n">
        <f aca="false">COUNTIFS(Codificacion!$I$2:$I$177,$A52,Codificacion!$B$2:$B$177,"Directrices EBA")</f>
        <v>5</v>
      </c>
      <c r="E52" s="22" t="n">
        <f aca="false">COUNTIFS(Codificacion!$I$2:$I$177,$A52,Codificacion!$B$2:$B$177,"RGPD")</f>
        <v>0</v>
      </c>
      <c r="F52" s="22" t="n">
        <f aca="false">COUNTIFS(Codificacion!$I$2:$I$177,$A52,Codificacion!$B$2:$B$177,"AI Act")</f>
        <v>7</v>
      </c>
      <c r="G52" s="22" t="n">
        <f aca="false">COUNTIFS(Codificacion!$I$2:$I$177,$A52,Codificacion!$B$2:$B$177,"DORA")</f>
        <v>0</v>
      </c>
      <c r="H52" s="22" t="n">
        <f aca="false">COUNTIFS(Codificacion!$I$2:$I$177,$A52,Codificacion!$B$2:$B$177,"eIDAS 2")</f>
        <v>0</v>
      </c>
      <c r="I52" s="22" t="n">
        <f aca="false">COUNTIFS(Codificacion!$I$2:$I$177,$A52,Codificacion!$B$2:$B$177,"Accesibilidad")</f>
        <v>0</v>
      </c>
      <c r="J52" s="22" t="n">
        <f aca="false">COUNTIFS(Codificacion!$I$2:$I$177,$A52,Codificacion!$B$2:$B$177,"Atención al cliente ES")</f>
        <v>0</v>
      </c>
      <c r="K52" s="8" t="n">
        <f aca="false">COUNTIF(B52:J52,"&gt;0")</f>
        <v>2</v>
      </c>
      <c r="L52" s="8" t="n">
        <f aca="false">(COUNTIFS(Codificacion!$I$2:$I$177,$A52,Codificacion!$J$2:$J$177,"Diligencia_debida_AML")&gt;0)+(COUNTIFS(Codificacion!$I$2:$I$177,$A52,Codificacion!$J$2:$J$177,"Prevencion_fraude")&gt;0)+(COUNTIFS(Codificacion!$I$2:$I$177,$A52,Codificacion!$J$2:$J$177,"Transparencia_consumidor")&gt;0)+(COUNTIFS(Codificacion!$I$2:$I$177,$A52,Codificacion!$J$2:$J$177,"Acceso_inclusion")&gt;0)+(COUNTIFS(Codificacion!$I$2:$I$177,$A52,Codificacion!$J$2:$J$177,"Proteccion_datos")&gt;0)+(COUNTIFS(Codificacion!$I$2:$I$177,$A52,Codificacion!$J$2:$J$177,"Trazabilidad_IA")&gt;0)+(COUNTIFS(Codificacion!$I$2:$I$177,$A52,Codificacion!$J$2:$J$177,"Resiliencia_operativa")&gt;0)+(COUNTIFS(Codificacion!$I$2:$I$177,$A52,Codificacion!$J$2:$J$177,"Reclamaciones")&gt;0)</f>
        <v>3</v>
      </c>
    </row>
    <row r="53" customFormat="false" ht="15" hidden="false" customHeight="true" outlineLevel="0" collapsed="false">
      <c r="A53" s="10" t="s">
        <v>93</v>
      </c>
      <c r="B53" s="22" t="n">
        <f aca="false">COUNTIFS(Codificacion!$I$2:$I$177,$A53,Codificacion!$B$2:$B$177,"Cuenta básica")</f>
        <v>5</v>
      </c>
      <c r="C53" s="22" t="n">
        <f aca="false">COUNTIFS(Codificacion!$I$2:$I$177,$A53,Codificacion!$B$2:$B$177,"AML")</f>
        <v>1</v>
      </c>
      <c r="D53" s="22" t="n">
        <f aca="false">COUNTIFS(Codificacion!$I$2:$I$177,$A53,Codificacion!$B$2:$B$177,"Directrices EBA")</f>
        <v>1</v>
      </c>
      <c r="E53" s="22" t="n">
        <f aca="false">COUNTIFS(Codificacion!$I$2:$I$177,$A53,Codificacion!$B$2:$B$177,"RGPD")</f>
        <v>4</v>
      </c>
      <c r="F53" s="22" t="n">
        <f aca="false">COUNTIFS(Codificacion!$I$2:$I$177,$A53,Codificacion!$B$2:$B$177,"AI Act")</f>
        <v>2</v>
      </c>
      <c r="G53" s="22" t="n">
        <f aca="false">COUNTIFS(Codificacion!$I$2:$I$177,$A53,Codificacion!$B$2:$B$177,"DORA")</f>
        <v>0</v>
      </c>
      <c r="H53" s="22" t="n">
        <f aca="false">COUNTIFS(Codificacion!$I$2:$I$177,$A53,Codificacion!$B$2:$B$177,"eIDAS 2")</f>
        <v>1</v>
      </c>
      <c r="I53" s="22" t="n">
        <f aca="false">COUNTIFS(Codificacion!$I$2:$I$177,$A53,Codificacion!$B$2:$B$177,"Accesibilidad")</f>
        <v>5</v>
      </c>
      <c r="J53" s="22" t="n">
        <f aca="false">COUNTIFS(Codificacion!$I$2:$I$177,$A53,Codificacion!$B$2:$B$177,"Atención al cliente ES")</f>
        <v>3</v>
      </c>
      <c r="K53" s="8" t="n">
        <f aca="false">COUNTIF(B53:J53,"&gt;0")</f>
        <v>8</v>
      </c>
      <c r="L53" s="8" t="n">
        <f aca="false">(COUNTIFS(Codificacion!$I$2:$I$177,$A53,Codificacion!$J$2:$J$177,"Diligencia_debida_AML")&gt;0)+(COUNTIFS(Codificacion!$I$2:$I$177,$A53,Codificacion!$J$2:$J$177,"Prevencion_fraude")&gt;0)+(COUNTIFS(Codificacion!$I$2:$I$177,$A53,Codificacion!$J$2:$J$177,"Transparencia_consumidor")&gt;0)+(COUNTIFS(Codificacion!$I$2:$I$177,$A53,Codificacion!$J$2:$J$177,"Acceso_inclusion")&gt;0)+(COUNTIFS(Codificacion!$I$2:$I$177,$A53,Codificacion!$J$2:$J$177,"Proteccion_datos")&gt;0)+(COUNTIFS(Codificacion!$I$2:$I$177,$A53,Codificacion!$J$2:$J$177,"Trazabilidad_IA")&gt;0)+(COUNTIFS(Codificacion!$I$2:$I$177,$A53,Codificacion!$J$2:$J$177,"Resiliencia_operativa")&gt;0)+(COUNTIFS(Codificacion!$I$2:$I$177,$A53,Codificacion!$J$2:$J$177,"Reclamaciones")&gt;0)</f>
        <v>5</v>
      </c>
    </row>
    <row r="54" customFormat="false" ht="15" hidden="false" customHeight="true" outlineLevel="0" collapsed="false">
      <c r="A54" s="10" t="s">
        <v>99</v>
      </c>
      <c r="B54" s="22" t="n">
        <f aca="false">COUNTIFS(Codificacion!$I$2:$I$177,$A54,Codificacion!$B$2:$B$177,"Cuenta básica")</f>
        <v>0</v>
      </c>
      <c r="C54" s="22" t="n">
        <f aca="false">COUNTIFS(Codificacion!$I$2:$I$177,$A54,Codificacion!$B$2:$B$177,"AML")</f>
        <v>8</v>
      </c>
      <c r="D54" s="22" t="n">
        <f aca="false">COUNTIFS(Codificacion!$I$2:$I$177,$A54,Codificacion!$B$2:$B$177,"Directrices EBA")</f>
        <v>6</v>
      </c>
      <c r="E54" s="22" t="n">
        <f aca="false">COUNTIFS(Codificacion!$I$2:$I$177,$A54,Codificacion!$B$2:$B$177,"RGPD")</f>
        <v>1</v>
      </c>
      <c r="F54" s="22" t="n">
        <f aca="false">COUNTIFS(Codificacion!$I$2:$I$177,$A54,Codificacion!$B$2:$B$177,"AI Act")</f>
        <v>3</v>
      </c>
      <c r="G54" s="22" t="n">
        <f aca="false">COUNTIFS(Codificacion!$I$2:$I$177,$A54,Codificacion!$B$2:$B$177,"DORA")</f>
        <v>0</v>
      </c>
      <c r="H54" s="22" t="n">
        <f aca="false">COUNTIFS(Codificacion!$I$2:$I$177,$A54,Codificacion!$B$2:$B$177,"eIDAS 2")</f>
        <v>0</v>
      </c>
      <c r="I54" s="22" t="n">
        <f aca="false">COUNTIFS(Codificacion!$I$2:$I$177,$A54,Codificacion!$B$2:$B$177,"Accesibilidad")</f>
        <v>5</v>
      </c>
      <c r="J54" s="22" t="n">
        <f aca="false">COUNTIFS(Codificacion!$I$2:$I$177,$A54,Codificacion!$B$2:$B$177,"Atención al cliente ES")</f>
        <v>0</v>
      </c>
      <c r="K54" s="8" t="n">
        <f aca="false">COUNTIF(B54:J54,"&gt;0")</f>
        <v>5</v>
      </c>
      <c r="L54" s="8" t="n">
        <f aca="false">(COUNTIFS(Codificacion!$I$2:$I$177,$A54,Codificacion!$J$2:$J$177,"Diligencia_debida_AML")&gt;0)+(COUNTIFS(Codificacion!$I$2:$I$177,$A54,Codificacion!$J$2:$J$177,"Prevencion_fraude")&gt;0)+(COUNTIFS(Codificacion!$I$2:$I$177,$A54,Codificacion!$J$2:$J$177,"Transparencia_consumidor")&gt;0)+(COUNTIFS(Codificacion!$I$2:$I$177,$A54,Codificacion!$J$2:$J$177,"Acceso_inclusion")&gt;0)+(COUNTIFS(Codificacion!$I$2:$I$177,$A54,Codificacion!$J$2:$J$177,"Proteccion_datos")&gt;0)+(COUNTIFS(Codificacion!$I$2:$I$177,$A54,Codificacion!$J$2:$J$177,"Trazabilidad_IA")&gt;0)+(COUNTIFS(Codificacion!$I$2:$I$177,$A54,Codificacion!$J$2:$J$177,"Resiliencia_operativa")&gt;0)+(COUNTIFS(Codificacion!$I$2:$I$177,$A54,Codificacion!$J$2:$J$177,"Reclamaciones")&gt;0)</f>
        <v>4</v>
      </c>
    </row>
    <row r="55" customFormat="false" ht="15" hidden="false" customHeight="true" outlineLevel="0" collapsed="false">
      <c r="A55" s="10" t="s">
        <v>106</v>
      </c>
      <c r="B55" s="22" t="n">
        <f aca="false">COUNTIFS(Codificacion!$I$2:$I$177,$A55,Codificacion!$B$2:$B$177,"Cuenta básica")</f>
        <v>0</v>
      </c>
      <c r="C55" s="22" t="n">
        <f aca="false">COUNTIFS(Codificacion!$I$2:$I$177,$A55,Codificacion!$B$2:$B$177,"AML")</f>
        <v>2</v>
      </c>
      <c r="D55" s="22" t="n">
        <f aca="false">COUNTIFS(Codificacion!$I$2:$I$177,$A55,Codificacion!$B$2:$B$177,"Directrices EBA")</f>
        <v>4</v>
      </c>
      <c r="E55" s="22" t="n">
        <f aca="false">COUNTIFS(Codificacion!$I$2:$I$177,$A55,Codificacion!$B$2:$B$177,"RGPD")</f>
        <v>1</v>
      </c>
      <c r="F55" s="22" t="n">
        <f aca="false">COUNTIFS(Codificacion!$I$2:$I$177,$A55,Codificacion!$B$2:$B$177,"AI Act")</f>
        <v>3</v>
      </c>
      <c r="G55" s="22" t="n">
        <f aca="false">COUNTIFS(Codificacion!$I$2:$I$177,$A55,Codificacion!$B$2:$B$177,"DORA")</f>
        <v>0</v>
      </c>
      <c r="H55" s="22" t="n">
        <f aca="false">COUNTIFS(Codificacion!$I$2:$I$177,$A55,Codificacion!$B$2:$B$177,"eIDAS 2")</f>
        <v>0</v>
      </c>
      <c r="I55" s="22" t="n">
        <f aca="false">COUNTIFS(Codificacion!$I$2:$I$177,$A55,Codificacion!$B$2:$B$177,"Accesibilidad")</f>
        <v>0</v>
      </c>
      <c r="J55" s="22" t="n">
        <f aca="false">COUNTIFS(Codificacion!$I$2:$I$177,$A55,Codificacion!$B$2:$B$177,"Atención al cliente ES")</f>
        <v>1</v>
      </c>
      <c r="K55" s="8" t="n">
        <f aca="false">COUNTIF(B55:J55,"&gt;0")</f>
        <v>5</v>
      </c>
      <c r="L55" s="8" t="n">
        <f aca="false">(COUNTIFS(Codificacion!$I$2:$I$177,$A55,Codificacion!$J$2:$J$177,"Diligencia_debida_AML")&gt;0)+(COUNTIFS(Codificacion!$I$2:$I$177,$A55,Codificacion!$J$2:$J$177,"Prevencion_fraude")&gt;0)+(COUNTIFS(Codificacion!$I$2:$I$177,$A55,Codificacion!$J$2:$J$177,"Transparencia_consumidor")&gt;0)+(COUNTIFS(Codificacion!$I$2:$I$177,$A55,Codificacion!$J$2:$J$177,"Acceso_inclusion")&gt;0)+(COUNTIFS(Codificacion!$I$2:$I$177,$A55,Codificacion!$J$2:$J$177,"Proteccion_datos")&gt;0)+(COUNTIFS(Codificacion!$I$2:$I$177,$A55,Codificacion!$J$2:$J$177,"Trazabilidad_IA")&gt;0)+(COUNTIFS(Codificacion!$I$2:$I$177,$A55,Codificacion!$J$2:$J$177,"Resiliencia_operativa")&gt;0)+(COUNTIFS(Codificacion!$I$2:$I$177,$A55,Codificacion!$J$2:$J$177,"Reclamaciones")&gt;0)</f>
        <v>5</v>
      </c>
    </row>
    <row r="56" customFormat="false" ht="15" hidden="false" customHeight="true" outlineLevel="0" collapsed="false">
      <c r="A56" s="10" t="s">
        <v>111</v>
      </c>
      <c r="B56" s="22" t="n">
        <f aca="false">COUNTIFS(Codificacion!$I$2:$I$177,$A56,Codificacion!$B$2:$B$177,"Cuenta básica")</f>
        <v>0</v>
      </c>
      <c r="C56" s="22" t="n">
        <f aca="false">COUNTIFS(Codificacion!$I$2:$I$177,$A56,Codificacion!$B$2:$B$177,"AML")</f>
        <v>0</v>
      </c>
      <c r="D56" s="22" t="n">
        <f aca="false">COUNTIFS(Codificacion!$I$2:$I$177,$A56,Codificacion!$B$2:$B$177,"Directrices EBA")</f>
        <v>2</v>
      </c>
      <c r="E56" s="22" t="n">
        <f aca="false">COUNTIFS(Codificacion!$I$2:$I$177,$A56,Codificacion!$B$2:$B$177,"RGPD")</f>
        <v>0</v>
      </c>
      <c r="F56" s="22" t="n">
        <f aca="false">COUNTIFS(Codificacion!$I$2:$I$177,$A56,Codificacion!$B$2:$B$177,"AI Act")</f>
        <v>0</v>
      </c>
      <c r="G56" s="22" t="n">
        <f aca="false">COUNTIFS(Codificacion!$I$2:$I$177,$A56,Codificacion!$B$2:$B$177,"DORA")</f>
        <v>8</v>
      </c>
      <c r="H56" s="22" t="n">
        <f aca="false">COUNTIFS(Codificacion!$I$2:$I$177,$A56,Codificacion!$B$2:$B$177,"eIDAS 2")</f>
        <v>0</v>
      </c>
      <c r="I56" s="22" t="n">
        <f aca="false">COUNTIFS(Codificacion!$I$2:$I$177,$A56,Codificacion!$B$2:$B$177,"Accesibilidad")</f>
        <v>0</v>
      </c>
      <c r="J56" s="22" t="n">
        <f aca="false">COUNTIFS(Codificacion!$I$2:$I$177,$A56,Codificacion!$B$2:$B$177,"Atención al cliente ES")</f>
        <v>0</v>
      </c>
      <c r="K56" s="8" t="n">
        <f aca="false">COUNTIF(B56:J56,"&gt;0")</f>
        <v>2</v>
      </c>
      <c r="L56" s="8" t="n">
        <f aca="false">(COUNTIFS(Codificacion!$I$2:$I$177,$A56,Codificacion!$J$2:$J$177,"Diligencia_debida_AML")&gt;0)+(COUNTIFS(Codificacion!$I$2:$I$177,$A56,Codificacion!$J$2:$J$177,"Prevencion_fraude")&gt;0)+(COUNTIFS(Codificacion!$I$2:$I$177,$A56,Codificacion!$J$2:$J$177,"Transparencia_consumidor")&gt;0)+(COUNTIFS(Codificacion!$I$2:$I$177,$A56,Codificacion!$J$2:$J$177,"Acceso_inclusion")&gt;0)+(COUNTIFS(Codificacion!$I$2:$I$177,$A56,Codificacion!$J$2:$J$177,"Proteccion_datos")&gt;0)+(COUNTIFS(Codificacion!$I$2:$I$177,$A56,Codificacion!$J$2:$J$177,"Trazabilidad_IA")&gt;0)+(COUNTIFS(Codificacion!$I$2:$I$177,$A56,Codificacion!$J$2:$J$177,"Resiliencia_operativa")&gt;0)+(COUNTIFS(Codificacion!$I$2:$I$177,$A56,Codificacion!$J$2:$J$177,"Reclamaciones")&gt;0)</f>
        <v>2</v>
      </c>
    </row>
    <row r="57" customFormat="false" ht="15" hidden="false" customHeight="true" outlineLevel="0" collapsed="false">
      <c r="A57" s="10" t="s">
        <v>114</v>
      </c>
      <c r="B57" s="22" t="n">
        <f aca="false">COUNTIFS(Codificacion!$I$2:$I$177,$A57,Codificacion!$B$2:$B$177,"Cuenta básica")</f>
        <v>0</v>
      </c>
      <c r="C57" s="22" t="n">
        <f aca="false">COUNTIFS(Codificacion!$I$2:$I$177,$A57,Codificacion!$B$2:$B$177,"AML")</f>
        <v>0</v>
      </c>
      <c r="D57" s="22" t="n">
        <f aca="false">COUNTIFS(Codificacion!$I$2:$I$177,$A57,Codificacion!$B$2:$B$177,"Directrices EBA")</f>
        <v>2</v>
      </c>
      <c r="E57" s="22" t="n">
        <f aca="false">COUNTIFS(Codificacion!$I$2:$I$177,$A57,Codificacion!$B$2:$B$177,"RGPD")</f>
        <v>0</v>
      </c>
      <c r="F57" s="22" t="n">
        <f aca="false">COUNTIFS(Codificacion!$I$2:$I$177,$A57,Codificacion!$B$2:$B$177,"AI Act")</f>
        <v>0</v>
      </c>
      <c r="G57" s="22" t="n">
        <f aca="false">COUNTIFS(Codificacion!$I$2:$I$177,$A57,Codificacion!$B$2:$B$177,"DORA")</f>
        <v>2</v>
      </c>
      <c r="H57" s="22" t="n">
        <f aca="false">COUNTIFS(Codificacion!$I$2:$I$177,$A57,Codificacion!$B$2:$B$177,"eIDAS 2")</f>
        <v>0</v>
      </c>
      <c r="I57" s="22" t="n">
        <f aca="false">COUNTIFS(Codificacion!$I$2:$I$177,$A57,Codificacion!$B$2:$B$177,"Accesibilidad")</f>
        <v>1</v>
      </c>
      <c r="J57" s="22" t="n">
        <f aca="false">COUNTIFS(Codificacion!$I$2:$I$177,$A57,Codificacion!$B$2:$B$177,"Atención al cliente ES")</f>
        <v>0</v>
      </c>
      <c r="K57" s="8" t="n">
        <f aca="false">COUNTIF(B57:J57,"&gt;0")</f>
        <v>3</v>
      </c>
      <c r="L57" s="8" t="n">
        <f aca="false">(COUNTIFS(Codificacion!$I$2:$I$177,$A57,Codificacion!$J$2:$J$177,"Diligencia_debida_AML")&gt;0)+(COUNTIFS(Codificacion!$I$2:$I$177,$A57,Codificacion!$J$2:$J$177,"Prevencion_fraude")&gt;0)+(COUNTIFS(Codificacion!$I$2:$I$177,$A57,Codificacion!$J$2:$J$177,"Transparencia_consumidor")&gt;0)+(COUNTIFS(Codificacion!$I$2:$I$177,$A57,Codificacion!$J$2:$J$177,"Acceso_inclusion")&gt;0)+(COUNTIFS(Codificacion!$I$2:$I$177,$A57,Codificacion!$J$2:$J$177,"Proteccion_datos")&gt;0)+(COUNTIFS(Codificacion!$I$2:$I$177,$A57,Codificacion!$J$2:$J$177,"Trazabilidad_IA")&gt;0)+(COUNTIFS(Codificacion!$I$2:$I$177,$A57,Codificacion!$J$2:$J$177,"Resiliencia_operativa")&gt;0)+(COUNTIFS(Codificacion!$I$2:$I$177,$A57,Codificacion!$J$2:$J$177,"Reclamaciones")&gt;0)</f>
        <v>4</v>
      </c>
    </row>
    <row r="58" customFormat="false" ht="15" hidden="false" customHeight="true" outlineLevel="0" collapsed="false">
      <c r="A58" s="10" t="s">
        <v>118</v>
      </c>
      <c r="B58" s="22" t="n">
        <f aca="false">COUNTIFS(Codificacion!$I$2:$I$177,$A58,Codificacion!$B$2:$B$177,"Cuenta básica")</f>
        <v>4</v>
      </c>
      <c r="C58" s="22" t="n">
        <f aca="false">COUNTIFS(Codificacion!$I$2:$I$177,$A58,Codificacion!$B$2:$B$177,"AML")</f>
        <v>4</v>
      </c>
      <c r="D58" s="22" t="n">
        <f aca="false">COUNTIFS(Codificacion!$I$2:$I$177,$A58,Codificacion!$B$2:$B$177,"Directrices EBA")</f>
        <v>1</v>
      </c>
      <c r="E58" s="22" t="n">
        <f aca="false">COUNTIFS(Codificacion!$I$2:$I$177,$A58,Codificacion!$B$2:$B$177,"RGPD")</f>
        <v>6</v>
      </c>
      <c r="F58" s="22" t="n">
        <f aca="false">COUNTIFS(Codificacion!$I$2:$I$177,$A58,Codificacion!$B$2:$B$177,"AI Act")</f>
        <v>1</v>
      </c>
      <c r="G58" s="22" t="n">
        <f aca="false">COUNTIFS(Codificacion!$I$2:$I$177,$A58,Codificacion!$B$2:$B$177,"DORA")</f>
        <v>0</v>
      </c>
      <c r="H58" s="22" t="n">
        <f aca="false">COUNTIFS(Codificacion!$I$2:$I$177,$A58,Codificacion!$B$2:$B$177,"eIDAS 2")</f>
        <v>0</v>
      </c>
      <c r="I58" s="22" t="n">
        <f aca="false">COUNTIFS(Codificacion!$I$2:$I$177,$A58,Codificacion!$B$2:$B$177,"Accesibilidad")</f>
        <v>4</v>
      </c>
      <c r="J58" s="22" t="n">
        <f aca="false">COUNTIFS(Codificacion!$I$2:$I$177,$A58,Codificacion!$B$2:$B$177,"Atención al cliente ES")</f>
        <v>3</v>
      </c>
      <c r="K58" s="8" t="n">
        <f aca="false">COUNTIF(B58:J58,"&gt;0")</f>
        <v>7</v>
      </c>
      <c r="L58" s="8" t="n">
        <f aca="false">(COUNTIFS(Codificacion!$I$2:$I$177,$A58,Codificacion!$J$2:$J$177,"Diligencia_debida_AML")&gt;0)+(COUNTIFS(Codificacion!$I$2:$I$177,$A58,Codificacion!$J$2:$J$177,"Prevencion_fraude")&gt;0)+(COUNTIFS(Codificacion!$I$2:$I$177,$A58,Codificacion!$J$2:$J$177,"Transparencia_consumidor")&gt;0)+(COUNTIFS(Codificacion!$I$2:$I$177,$A58,Codificacion!$J$2:$J$177,"Acceso_inclusion")&gt;0)+(COUNTIFS(Codificacion!$I$2:$I$177,$A58,Codificacion!$J$2:$J$177,"Proteccion_datos")&gt;0)+(COUNTIFS(Codificacion!$I$2:$I$177,$A58,Codificacion!$J$2:$J$177,"Trazabilidad_IA")&gt;0)+(COUNTIFS(Codificacion!$I$2:$I$177,$A58,Codificacion!$J$2:$J$177,"Resiliencia_operativa")&gt;0)+(COUNTIFS(Codificacion!$I$2:$I$177,$A58,Codificacion!$J$2:$J$177,"Reclamaciones")&gt;0)</f>
        <v>5</v>
      </c>
    </row>
    <row r="60" customFormat="false" ht="15" hidden="false" customHeight="true" outlineLevel="0" collapsed="false">
      <c r="A60" s="8" t="s">
        <v>1040</v>
      </c>
      <c r="B60" s="8" t="n">
        <f aca="false">COUNTIF(K48:K58,"&gt;=2")</f>
        <v>11</v>
      </c>
    </row>
    <row r="61" customFormat="false" ht="15" hidden="false" customHeight="true" outlineLevel="0" collapsed="false">
      <c r="A61" s="8" t="s">
        <v>1041</v>
      </c>
      <c r="B61" s="8" t="n">
        <f aca="false">COUNTIF(K48:K58,"&gt;=3")</f>
        <v>8</v>
      </c>
    </row>
  </sheetData>
  <conditionalFormatting sqref="B48:J58">
    <cfRule type="colorScale" priority="2">
      <colorScale>
        <cfvo type="num" val="0"/>
        <cfvo type="max" val="0"/>
        <color rgb="FFFFFFFF"/>
        <color rgb="FFA6A6A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13" min="3" style="1" width="13"/>
  </cols>
  <sheetData>
    <row r="1" customFormat="false" ht="17.25" hidden="false" customHeight="true" outlineLevel="0" collapsed="false">
      <c r="A1" s="18" t="s">
        <v>1042</v>
      </c>
    </row>
    <row r="2" customFormat="false" ht="15" hidden="false" customHeight="true" outlineLevel="0" collapsed="false">
      <c r="A2" s="20" t="s">
        <v>1043</v>
      </c>
    </row>
    <row r="4" customFormat="false" ht="45" hidden="false" customHeight="true" outlineLevel="0" collapsed="false">
      <c r="A4" s="23" t="s">
        <v>136</v>
      </c>
      <c r="B4" s="23" t="s">
        <v>137</v>
      </c>
      <c r="C4" s="23" t="s">
        <v>194</v>
      </c>
      <c r="D4" s="23" t="s">
        <v>389</v>
      </c>
      <c r="E4" s="23" t="s">
        <v>530</v>
      </c>
      <c r="F4" s="23" t="s">
        <v>758</v>
      </c>
      <c r="G4" s="23" t="s">
        <v>816</v>
      </c>
      <c r="H4" s="23" t="s">
        <v>896</v>
      </c>
      <c r="I4" s="23" t="s">
        <v>939</v>
      </c>
      <c r="J4" s="23" t="s">
        <v>952</v>
      </c>
      <c r="K4" s="23" t="s">
        <v>315</v>
      </c>
      <c r="L4" s="23" t="s">
        <v>1044</v>
      </c>
      <c r="M4" s="23" t="s">
        <v>1045</v>
      </c>
    </row>
    <row r="5" customFormat="false" ht="15" hidden="false" customHeight="true" outlineLevel="0" collapsed="false">
      <c r="A5" s="8" t="s">
        <v>139</v>
      </c>
      <c r="B5" s="10" t="s">
        <v>140</v>
      </c>
      <c r="C5" s="17" t="n">
        <f aca="false">COUNTIFS(Codificacion!$S$2:$S$177,1,Codificacion!$B$2:$B$177,"Cuenta básica")</f>
        <v>2</v>
      </c>
      <c r="D5" s="17" t="n">
        <f aca="false">COUNTIFS(Codificacion!$S$2:$S$177,1,Codificacion!$B$2:$B$177,"AML")</f>
        <v>8</v>
      </c>
      <c r="E5" s="17" t="n">
        <f aca="false">COUNTIFS(Codificacion!$S$2:$S$177,1,Codificacion!$B$2:$B$177,"Directrices EBA")</f>
        <v>3</v>
      </c>
      <c r="F5" s="17" t="n">
        <f aca="false">COUNTIFS(Codificacion!$S$2:$S$177,1,Codificacion!$B$2:$B$177,"RGPD")</f>
        <v>3</v>
      </c>
      <c r="G5" s="17" t="n">
        <f aca="false">COUNTIFS(Codificacion!$S$2:$S$177,1,Codificacion!$B$2:$B$177,"AI Act")</f>
        <v>1</v>
      </c>
      <c r="H5" s="17" t="n">
        <f aca="false">COUNTIFS(Codificacion!$S$2:$S$177,1,Codificacion!$B$2:$B$177,"DORA")</f>
        <v>0</v>
      </c>
      <c r="I5" s="17" t="n">
        <f aca="false">COUNTIFS(Codificacion!$S$2:$S$177,1,Codificacion!$B$2:$B$177,"eIDAS 2")</f>
        <v>0</v>
      </c>
      <c r="J5" s="17" t="n">
        <f aca="false">COUNTIFS(Codificacion!$S$2:$S$177,1,Codificacion!$B$2:$B$177,"Accesibilidad")</f>
        <v>2</v>
      </c>
      <c r="K5" s="17" t="n">
        <f aca="false">COUNTIFS(Codificacion!$S$2:$S$177,1,Codificacion!$B$2:$B$177,"Atención al cliente ES")</f>
        <v>2</v>
      </c>
      <c r="L5" s="24" t="n">
        <f aca="false">SUM(C5:K5)</f>
        <v>21</v>
      </c>
      <c r="M5" s="24" t="n">
        <f aca="false">COUNTIF(C5:K5,"&gt;0")</f>
        <v>7</v>
      </c>
    </row>
    <row r="6" customFormat="false" ht="15" hidden="false" customHeight="true" outlineLevel="0" collapsed="false">
      <c r="A6" s="8" t="s">
        <v>142</v>
      </c>
      <c r="B6" s="10" t="s">
        <v>143</v>
      </c>
      <c r="C6" s="17" t="n">
        <f aca="false">COUNTIFS(Codificacion!$T$2:$T$177,1,Codificacion!$B$2:$B$177,"Cuenta básica")</f>
        <v>0</v>
      </c>
      <c r="D6" s="17" t="n">
        <f aca="false">COUNTIFS(Codificacion!$T$2:$T$177,1,Codificacion!$B$2:$B$177,"AML")</f>
        <v>3</v>
      </c>
      <c r="E6" s="17" t="n">
        <f aca="false">COUNTIFS(Codificacion!$T$2:$T$177,1,Codificacion!$B$2:$B$177,"Directrices EBA")</f>
        <v>0</v>
      </c>
      <c r="F6" s="17" t="n">
        <f aca="false">COUNTIFS(Codificacion!$T$2:$T$177,1,Codificacion!$B$2:$B$177,"RGPD")</f>
        <v>0</v>
      </c>
      <c r="G6" s="17" t="n">
        <f aca="false">COUNTIFS(Codificacion!$T$2:$T$177,1,Codificacion!$B$2:$B$177,"AI Act")</f>
        <v>0</v>
      </c>
      <c r="H6" s="17" t="n">
        <f aca="false">COUNTIFS(Codificacion!$T$2:$T$177,1,Codificacion!$B$2:$B$177,"DORA")</f>
        <v>0</v>
      </c>
      <c r="I6" s="17" t="n">
        <f aca="false">COUNTIFS(Codificacion!$T$2:$T$177,1,Codificacion!$B$2:$B$177,"eIDAS 2")</f>
        <v>0</v>
      </c>
      <c r="J6" s="17" t="n">
        <f aca="false">COUNTIFS(Codificacion!$T$2:$T$177,1,Codificacion!$B$2:$B$177,"Accesibilidad")</f>
        <v>1</v>
      </c>
      <c r="K6" s="17" t="n">
        <f aca="false">COUNTIFS(Codificacion!$T$2:$T$177,1,Codificacion!$B$2:$B$177,"Atención al cliente ES")</f>
        <v>0</v>
      </c>
      <c r="L6" s="24" t="n">
        <f aca="false">SUM(C6:K6)</f>
        <v>4</v>
      </c>
      <c r="M6" s="24" t="n">
        <f aca="false">COUNTIF(C6:K6,"&gt;0")</f>
        <v>2</v>
      </c>
    </row>
    <row r="7" customFormat="false" ht="15" hidden="false" customHeight="true" outlineLevel="0" collapsed="false">
      <c r="A7" s="8" t="s">
        <v>144</v>
      </c>
      <c r="B7" s="10" t="s">
        <v>145</v>
      </c>
      <c r="C7" s="17" t="n">
        <f aca="false">COUNTIFS(Codificacion!$U$2:$U$177,1,Codificacion!$B$2:$B$177,"Cuenta básica")</f>
        <v>0</v>
      </c>
      <c r="D7" s="17" t="n">
        <f aca="false">COUNTIFS(Codificacion!$U$2:$U$177,1,Codificacion!$B$2:$B$177,"AML")</f>
        <v>1</v>
      </c>
      <c r="E7" s="17" t="n">
        <f aca="false">COUNTIFS(Codificacion!$U$2:$U$177,1,Codificacion!$B$2:$B$177,"Directrices EBA")</f>
        <v>3</v>
      </c>
      <c r="F7" s="17" t="n">
        <f aca="false">COUNTIFS(Codificacion!$U$2:$U$177,1,Codificacion!$B$2:$B$177,"RGPD")</f>
        <v>0</v>
      </c>
      <c r="G7" s="17" t="n">
        <f aca="false">COUNTIFS(Codificacion!$U$2:$U$177,1,Codificacion!$B$2:$B$177,"AI Act")</f>
        <v>0</v>
      </c>
      <c r="H7" s="17" t="n">
        <f aca="false">COUNTIFS(Codificacion!$U$2:$U$177,1,Codificacion!$B$2:$B$177,"DORA")</f>
        <v>8</v>
      </c>
      <c r="I7" s="17" t="n">
        <f aca="false">COUNTIFS(Codificacion!$U$2:$U$177,1,Codificacion!$B$2:$B$177,"eIDAS 2")</f>
        <v>0</v>
      </c>
      <c r="J7" s="17" t="n">
        <f aca="false">COUNTIFS(Codificacion!$U$2:$U$177,1,Codificacion!$B$2:$B$177,"Accesibilidad")</f>
        <v>0</v>
      </c>
      <c r="K7" s="17" t="n">
        <f aca="false">COUNTIFS(Codificacion!$U$2:$U$177,1,Codificacion!$B$2:$B$177,"Atención al cliente ES")</f>
        <v>0</v>
      </c>
      <c r="L7" s="24" t="n">
        <f aca="false">SUM(C7:K7)</f>
        <v>12</v>
      </c>
      <c r="M7" s="24" t="n">
        <f aca="false">COUNTIF(C7:K7,"&gt;0")</f>
        <v>3</v>
      </c>
    </row>
    <row r="8" customFormat="false" ht="15" hidden="false" customHeight="true" outlineLevel="0" collapsed="false">
      <c r="A8" s="8" t="s">
        <v>146</v>
      </c>
      <c r="B8" s="10" t="s">
        <v>147</v>
      </c>
      <c r="C8" s="17" t="n">
        <f aca="false">COUNTIFS(Codificacion!$V$2:$V$177,1,Codificacion!$B$2:$B$177,"Cuenta básica")</f>
        <v>0</v>
      </c>
      <c r="D8" s="17" t="n">
        <f aca="false">COUNTIFS(Codificacion!$V$2:$V$177,1,Codificacion!$B$2:$B$177,"AML")</f>
        <v>8</v>
      </c>
      <c r="E8" s="17" t="n">
        <f aca="false">COUNTIFS(Codificacion!$V$2:$V$177,1,Codificacion!$B$2:$B$177,"Directrices EBA")</f>
        <v>10</v>
      </c>
      <c r="F8" s="17" t="n">
        <f aca="false">COUNTIFS(Codificacion!$V$2:$V$177,1,Codificacion!$B$2:$B$177,"RGPD")</f>
        <v>0</v>
      </c>
      <c r="G8" s="17" t="n">
        <f aca="false">COUNTIFS(Codificacion!$V$2:$V$177,1,Codificacion!$B$2:$B$177,"AI Act")</f>
        <v>0</v>
      </c>
      <c r="H8" s="17" t="n">
        <f aca="false">COUNTIFS(Codificacion!$V$2:$V$177,1,Codificacion!$B$2:$B$177,"DORA")</f>
        <v>0</v>
      </c>
      <c r="I8" s="17" t="n">
        <f aca="false">COUNTIFS(Codificacion!$V$2:$V$177,1,Codificacion!$B$2:$B$177,"eIDAS 2")</f>
        <v>0</v>
      </c>
      <c r="J8" s="17" t="n">
        <f aca="false">COUNTIFS(Codificacion!$V$2:$V$177,1,Codificacion!$B$2:$B$177,"Accesibilidad")</f>
        <v>0</v>
      </c>
      <c r="K8" s="17" t="n">
        <f aca="false">COUNTIFS(Codificacion!$V$2:$V$177,1,Codificacion!$B$2:$B$177,"Atención al cliente ES")</f>
        <v>0</v>
      </c>
      <c r="L8" s="24" t="n">
        <f aca="false">SUM(C8:K8)</f>
        <v>18</v>
      </c>
      <c r="M8" s="24" t="n">
        <f aca="false">COUNTIF(C8:K8,"&gt;0")</f>
        <v>2</v>
      </c>
    </row>
    <row r="9" customFormat="false" ht="15" hidden="false" customHeight="true" outlineLevel="0" collapsed="false">
      <c r="A9" s="8" t="s">
        <v>148</v>
      </c>
      <c r="B9" s="10" t="s">
        <v>149</v>
      </c>
      <c r="C9" s="17" t="n">
        <f aca="false">COUNTIFS(Codificacion!$W$2:$W$177,1,Codificacion!$B$2:$B$177,"Cuenta básica")</f>
        <v>3</v>
      </c>
      <c r="D9" s="17" t="n">
        <f aca="false">COUNTIFS(Codificacion!$W$2:$W$177,1,Codificacion!$B$2:$B$177,"AML")</f>
        <v>20</v>
      </c>
      <c r="E9" s="17" t="n">
        <f aca="false">COUNTIFS(Codificacion!$W$2:$W$177,1,Codificacion!$B$2:$B$177,"Directrices EBA")</f>
        <v>6</v>
      </c>
      <c r="F9" s="17" t="n">
        <f aca="false">COUNTIFS(Codificacion!$W$2:$W$177,1,Codificacion!$B$2:$B$177,"RGPD")</f>
        <v>0</v>
      </c>
      <c r="G9" s="17" t="n">
        <f aca="false">COUNTIFS(Codificacion!$W$2:$W$177,1,Codificacion!$B$2:$B$177,"AI Act")</f>
        <v>0</v>
      </c>
      <c r="H9" s="17" t="n">
        <f aca="false">COUNTIFS(Codificacion!$W$2:$W$177,1,Codificacion!$B$2:$B$177,"DORA")</f>
        <v>0</v>
      </c>
      <c r="I9" s="17" t="n">
        <f aca="false">COUNTIFS(Codificacion!$W$2:$W$177,1,Codificacion!$B$2:$B$177,"eIDAS 2")</f>
        <v>0</v>
      </c>
      <c r="J9" s="17" t="n">
        <f aca="false">COUNTIFS(Codificacion!$W$2:$W$177,1,Codificacion!$B$2:$B$177,"Accesibilidad")</f>
        <v>0</v>
      </c>
      <c r="K9" s="17" t="n">
        <f aca="false">COUNTIFS(Codificacion!$W$2:$W$177,1,Codificacion!$B$2:$B$177,"Atención al cliente ES")</f>
        <v>0</v>
      </c>
      <c r="L9" s="24" t="n">
        <f aca="false">SUM(C9:K9)</f>
        <v>29</v>
      </c>
      <c r="M9" s="24" t="n">
        <f aca="false">COUNTIF(C9:K9,"&gt;0")</f>
        <v>3</v>
      </c>
    </row>
    <row r="10" customFormat="false" ht="15" hidden="false" customHeight="true" outlineLevel="0" collapsed="false">
      <c r="A10" s="8" t="s">
        <v>150</v>
      </c>
      <c r="B10" s="10" t="s">
        <v>151</v>
      </c>
      <c r="C10" s="17" t="n">
        <f aca="false">COUNTIFS(Codificacion!$X$2:$X$177,1,Codificacion!$B$2:$B$177,"Cuenta básica")</f>
        <v>0</v>
      </c>
      <c r="D10" s="17" t="n">
        <f aca="false">COUNTIFS(Codificacion!$X$2:$X$177,1,Codificacion!$B$2:$B$177,"AML")</f>
        <v>13</v>
      </c>
      <c r="E10" s="17" t="n">
        <f aca="false">COUNTIFS(Codificacion!$X$2:$X$177,1,Codificacion!$B$2:$B$177,"Directrices EBA")</f>
        <v>12</v>
      </c>
      <c r="F10" s="17" t="n">
        <f aca="false">COUNTIFS(Codificacion!$X$2:$X$177,1,Codificacion!$B$2:$B$177,"RGPD")</f>
        <v>1</v>
      </c>
      <c r="G10" s="17" t="n">
        <f aca="false">COUNTIFS(Codificacion!$X$2:$X$177,1,Codificacion!$B$2:$B$177,"AI Act")</f>
        <v>1</v>
      </c>
      <c r="H10" s="17" t="n">
        <f aca="false">COUNTIFS(Codificacion!$X$2:$X$177,1,Codificacion!$B$2:$B$177,"DORA")</f>
        <v>0</v>
      </c>
      <c r="I10" s="17" t="n">
        <f aca="false">COUNTIFS(Codificacion!$X$2:$X$177,1,Codificacion!$B$2:$B$177,"eIDAS 2")</f>
        <v>0</v>
      </c>
      <c r="J10" s="17" t="n">
        <f aca="false">COUNTIFS(Codificacion!$X$2:$X$177,1,Codificacion!$B$2:$B$177,"Accesibilidad")</f>
        <v>0</v>
      </c>
      <c r="K10" s="17" t="n">
        <f aca="false">COUNTIFS(Codificacion!$X$2:$X$177,1,Codificacion!$B$2:$B$177,"Atención al cliente ES")</f>
        <v>0</v>
      </c>
      <c r="L10" s="24" t="n">
        <f aca="false">SUM(C10:K10)</f>
        <v>27</v>
      </c>
      <c r="M10" s="24" t="n">
        <f aca="false">COUNTIF(C10:K10,"&gt;0")</f>
        <v>4</v>
      </c>
    </row>
    <row r="11" customFormat="false" ht="15" hidden="false" customHeight="true" outlineLevel="0" collapsed="false">
      <c r="A11" s="8" t="s">
        <v>152</v>
      </c>
      <c r="B11" s="10" t="s">
        <v>153</v>
      </c>
      <c r="C11" s="17" t="n">
        <f aca="false">COUNTIFS(Codificacion!$Y$2:$Y$177,1,Codificacion!$B$2:$B$177,"Cuenta básica")</f>
        <v>0</v>
      </c>
      <c r="D11" s="17" t="n">
        <f aca="false">COUNTIFS(Codificacion!$Y$2:$Y$177,1,Codificacion!$B$2:$B$177,"AML")</f>
        <v>0</v>
      </c>
      <c r="E11" s="17" t="n">
        <f aca="false">COUNTIFS(Codificacion!$Y$2:$Y$177,1,Codificacion!$B$2:$B$177,"Directrices EBA")</f>
        <v>0</v>
      </c>
      <c r="F11" s="17" t="n">
        <f aca="false">COUNTIFS(Codificacion!$Y$2:$Y$177,1,Codificacion!$B$2:$B$177,"RGPD")</f>
        <v>0</v>
      </c>
      <c r="G11" s="17" t="n">
        <f aca="false">COUNTIFS(Codificacion!$Y$2:$Y$177,1,Codificacion!$B$2:$B$177,"AI Act")</f>
        <v>0</v>
      </c>
      <c r="H11" s="17" t="n">
        <f aca="false">COUNTIFS(Codificacion!$Y$2:$Y$177,1,Codificacion!$B$2:$B$177,"DORA")</f>
        <v>0</v>
      </c>
      <c r="I11" s="17" t="n">
        <f aca="false">COUNTIFS(Codificacion!$Y$2:$Y$177,1,Codificacion!$B$2:$B$177,"eIDAS 2")</f>
        <v>0</v>
      </c>
      <c r="J11" s="17" t="n">
        <f aca="false">COUNTIFS(Codificacion!$Y$2:$Y$177,1,Codificacion!$B$2:$B$177,"Accesibilidad")</f>
        <v>0</v>
      </c>
      <c r="K11" s="17" t="n">
        <f aca="false">COUNTIFS(Codificacion!$Y$2:$Y$177,1,Codificacion!$B$2:$B$177,"Atención al cliente ES")</f>
        <v>0</v>
      </c>
      <c r="L11" s="24" t="n">
        <f aca="false">SUM(C11:K11)</f>
        <v>0</v>
      </c>
      <c r="M11" s="24" t="n">
        <f aca="false">COUNTIF(C11:K11,"&gt;0")</f>
        <v>0</v>
      </c>
    </row>
    <row r="12" customFormat="false" ht="15" hidden="false" customHeight="true" outlineLevel="0" collapsed="false">
      <c r="A12" s="8" t="s">
        <v>154</v>
      </c>
      <c r="B12" s="10" t="s">
        <v>155</v>
      </c>
      <c r="C12" s="17" t="n">
        <f aca="false">COUNTIFS(Codificacion!$Z$2:$Z$177,1,Codificacion!$B$2:$B$177,"Cuenta básica")</f>
        <v>1</v>
      </c>
      <c r="D12" s="17" t="n">
        <f aca="false">COUNTIFS(Codificacion!$Z$2:$Z$177,1,Codificacion!$B$2:$B$177,"AML")</f>
        <v>7</v>
      </c>
      <c r="E12" s="17" t="n">
        <f aca="false">COUNTIFS(Codificacion!$Z$2:$Z$177,1,Codificacion!$B$2:$B$177,"Directrices EBA")</f>
        <v>0</v>
      </c>
      <c r="F12" s="17" t="n">
        <f aca="false">COUNTIFS(Codificacion!$Z$2:$Z$177,1,Codificacion!$B$2:$B$177,"RGPD")</f>
        <v>0</v>
      </c>
      <c r="G12" s="17" t="n">
        <f aca="false">COUNTIFS(Codificacion!$Z$2:$Z$177,1,Codificacion!$B$2:$B$177,"AI Act")</f>
        <v>0</v>
      </c>
      <c r="H12" s="17" t="n">
        <f aca="false">COUNTIFS(Codificacion!$Z$2:$Z$177,1,Codificacion!$B$2:$B$177,"DORA")</f>
        <v>0</v>
      </c>
      <c r="I12" s="17" t="n">
        <f aca="false">COUNTIFS(Codificacion!$Z$2:$Z$177,1,Codificacion!$B$2:$B$177,"eIDAS 2")</f>
        <v>0</v>
      </c>
      <c r="J12" s="17" t="n">
        <f aca="false">COUNTIFS(Codificacion!$Z$2:$Z$177,1,Codificacion!$B$2:$B$177,"Accesibilidad")</f>
        <v>0</v>
      </c>
      <c r="K12" s="17" t="n">
        <f aca="false">COUNTIFS(Codificacion!$Z$2:$Z$177,1,Codificacion!$B$2:$B$177,"Atención al cliente ES")</f>
        <v>0</v>
      </c>
      <c r="L12" s="24" t="n">
        <f aca="false">SUM(C12:K12)</f>
        <v>8</v>
      </c>
      <c r="M12" s="24" t="n">
        <f aca="false">COUNTIF(C12:K12,"&gt;0")</f>
        <v>2</v>
      </c>
    </row>
    <row r="13" customFormat="false" ht="15" hidden="false" customHeight="true" outlineLevel="0" collapsed="false">
      <c r="A13" s="8" t="s">
        <v>156</v>
      </c>
      <c r="B13" s="10" t="s">
        <v>157</v>
      </c>
      <c r="C13" s="17" t="n">
        <f aca="false">COUNTIFS(Codificacion!$AA$2:$AA$177,1,Codificacion!$B$2:$B$177,"Cuenta básica")</f>
        <v>16</v>
      </c>
      <c r="D13" s="17" t="n">
        <f aca="false">COUNTIFS(Codificacion!$AA$2:$AA$177,1,Codificacion!$B$2:$B$177,"AML")</f>
        <v>11</v>
      </c>
      <c r="E13" s="17" t="n">
        <f aca="false">COUNTIFS(Codificacion!$AA$2:$AA$177,1,Codificacion!$B$2:$B$177,"Directrices EBA")</f>
        <v>7</v>
      </c>
      <c r="F13" s="17" t="n">
        <f aca="false">COUNTIFS(Codificacion!$AA$2:$AA$177,1,Codificacion!$B$2:$B$177,"RGPD")</f>
        <v>2</v>
      </c>
      <c r="G13" s="17" t="n">
        <f aca="false">COUNTIFS(Codificacion!$AA$2:$AA$177,1,Codificacion!$B$2:$B$177,"AI Act")</f>
        <v>2</v>
      </c>
      <c r="H13" s="17" t="n">
        <f aca="false">COUNTIFS(Codificacion!$AA$2:$AA$177,1,Codificacion!$B$2:$B$177,"DORA")</f>
        <v>0</v>
      </c>
      <c r="I13" s="17" t="n">
        <f aca="false">COUNTIFS(Codificacion!$AA$2:$AA$177,1,Codificacion!$B$2:$B$177,"eIDAS 2")</f>
        <v>0</v>
      </c>
      <c r="J13" s="17" t="n">
        <f aca="false">COUNTIFS(Codificacion!$AA$2:$AA$177,1,Codificacion!$B$2:$B$177,"Accesibilidad")</f>
        <v>0</v>
      </c>
      <c r="K13" s="17" t="n">
        <f aca="false">COUNTIFS(Codificacion!$AA$2:$AA$177,1,Codificacion!$B$2:$B$177,"Atención al cliente ES")</f>
        <v>9</v>
      </c>
      <c r="L13" s="24" t="n">
        <f aca="false">SUM(C13:K13)</f>
        <v>47</v>
      </c>
      <c r="M13" s="24" t="n">
        <f aca="false">COUNTIF(C13:K13,"&gt;0")</f>
        <v>6</v>
      </c>
    </row>
    <row r="14" customFormat="false" ht="15" hidden="false" customHeight="true" outlineLevel="0" collapsed="false">
      <c r="A14" s="8" t="s">
        <v>158</v>
      </c>
      <c r="B14" s="10" t="s">
        <v>159</v>
      </c>
      <c r="C14" s="17" t="n">
        <f aca="false">COUNTIFS(Codificacion!$AB$2:$AB$177,1,Codificacion!$B$2:$B$177,"Cuenta básica")</f>
        <v>6</v>
      </c>
      <c r="D14" s="17" t="n">
        <f aca="false">COUNTIFS(Codificacion!$AB$2:$AB$177,1,Codificacion!$B$2:$B$177,"AML")</f>
        <v>19</v>
      </c>
      <c r="E14" s="17" t="n">
        <f aca="false">COUNTIFS(Codificacion!$AB$2:$AB$177,1,Codificacion!$B$2:$B$177,"Directrices EBA")</f>
        <v>6</v>
      </c>
      <c r="F14" s="17" t="n">
        <f aca="false">COUNTIFS(Codificacion!$AB$2:$AB$177,1,Codificacion!$B$2:$B$177,"RGPD")</f>
        <v>0</v>
      </c>
      <c r="G14" s="17" t="n">
        <f aca="false">COUNTIFS(Codificacion!$AB$2:$AB$177,1,Codificacion!$B$2:$B$177,"AI Act")</f>
        <v>0</v>
      </c>
      <c r="H14" s="17" t="n">
        <f aca="false">COUNTIFS(Codificacion!$AB$2:$AB$177,1,Codificacion!$B$2:$B$177,"DORA")</f>
        <v>0</v>
      </c>
      <c r="I14" s="17" t="n">
        <f aca="false">COUNTIFS(Codificacion!$AB$2:$AB$177,1,Codificacion!$B$2:$B$177,"eIDAS 2")</f>
        <v>0</v>
      </c>
      <c r="J14" s="17" t="n">
        <f aca="false">COUNTIFS(Codificacion!$AB$2:$AB$177,1,Codificacion!$B$2:$B$177,"Accesibilidad")</f>
        <v>0</v>
      </c>
      <c r="K14" s="17" t="n">
        <f aca="false">COUNTIFS(Codificacion!$AB$2:$AB$177,1,Codificacion!$B$2:$B$177,"Atención al cliente ES")</f>
        <v>2</v>
      </c>
      <c r="L14" s="24" t="n">
        <f aca="false">SUM(C14:K14)</f>
        <v>33</v>
      </c>
      <c r="M14" s="24" t="n">
        <f aca="false">COUNTIF(C14:K14,"&gt;0")</f>
        <v>4</v>
      </c>
    </row>
    <row r="15" customFormat="false" ht="15" hidden="false" customHeight="true" outlineLevel="0" collapsed="false">
      <c r="A15" s="8" t="s">
        <v>161</v>
      </c>
      <c r="B15" s="10" t="s">
        <v>162</v>
      </c>
      <c r="C15" s="17" t="n">
        <f aca="false">COUNTIFS(Codificacion!$AC$2:$AC$177,1,Codificacion!$B$2:$B$177,"Cuenta básica")</f>
        <v>6</v>
      </c>
      <c r="D15" s="17" t="n">
        <f aca="false">COUNTIFS(Codificacion!$AC$2:$AC$177,1,Codificacion!$B$2:$B$177,"AML")</f>
        <v>9</v>
      </c>
      <c r="E15" s="17" t="n">
        <f aca="false">COUNTIFS(Codificacion!$AC$2:$AC$177,1,Codificacion!$B$2:$B$177,"Directrices EBA")</f>
        <v>11</v>
      </c>
      <c r="F15" s="17" t="n">
        <f aca="false">COUNTIFS(Codificacion!$AC$2:$AC$177,1,Codificacion!$B$2:$B$177,"RGPD")</f>
        <v>9</v>
      </c>
      <c r="G15" s="17" t="n">
        <f aca="false">COUNTIFS(Codificacion!$AC$2:$AC$177,1,Codificacion!$B$2:$B$177,"AI Act")</f>
        <v>14</v>
      </c>
      <c r="H15" s="17" t="n">
        <f aca="false">COUNTIFS(Codificacion!$AC$2:$AC$177,1,Codificacion!$B$2:$B$177,"DORA")</f>
        <v>2</v>
      </c>
      <c r="I15" s="17" t="n">
        <f aca="false">COUNTIFS(Codificacion!$AC$2:$AC$177,1,Codificacion!$B$2:$B$177,"eIDAS 2")</f>
        <v>2</v>
      </c>
      <c r="J15" s="17" t="n">
        <f aca="false">COUNTIFS(Codificacion!$AC$2:$AC$177,1,Codificacion!$B$2:$B$177,"Accesibilidad")</f>
        <v>14</v>
      </c>
      <c r="K15" s="17" t="n">
        <f aca="false">COUNTIFS(Codificacion!$AC$2:$AC$177,1,Codificacion!$B$2:$B$177,"Atención al cliente ES")</f>
        <v>3</v>
      </c>
      <c r="L15" s="24" t="n">
        <f aca="false">SUM(C15:K15)</f>
        <v>70</v>
      </c>
      <c r="M15" s="24" t="n">
        <f aca="false">COUNTIF(C15:K15,"&gt;0")</f>
        <v>9</v>
      </c>
    </row>
    <row r="17" customFormat="false" ht="15" hidden="false" customHeight="true" outlineLevel="0" collapsed="false">
      <c r="A17" s="8" t="s">
        <v>1046</v>
      </c>
    </row>
    <row r="18" customFormat="false" ht="15" hidden="false" customHeight="true" outlineLevel="0" collapsed="false">
      <c r="A18" s="10" t="s">
        <v>1047</v>
      </c>
      <c r="E18" s="8" t="n">
        <f aca="false">COUNTIF(M5:M14,0)</f>
        <v>1</v>
      </c>
    </row>
    <row r="19" customFormat="false" ht="15" hidden="false" customHeight="true" outlineLevel="0" collapsed="false">
      <c r="A19" s="10" t="s">
        <v>1048</v>
      </c>
      <c r="E19" s="8" t="n">
        <f aca="false">COUNTIF(M5:M14,1)</f>
        <v>0</v>
      </c>
    </row>
    <row r="20" customFormat="false" ht="15" hidden="false" customHeight="true" outlineLevel="0" collapsed="false">
      <c r="A20" s="20" t="s">
        <v>1049</v>
      </c>
    </row>
    <row r="23" customFormat="false" ht="15" hidden="false" customHeight="true" outlineLevel="0" collapsed="false">
      <c r="A23" s="8" t="s">
        <v>1050</v>
      </c>
    </row>
    <row r="24" customFormat="false" ht="45" hidden="false" customHeight="true" outlineLevel="0" collapsed="false">
      <c r="A24" s="23" t="s">
        <v>136</v>
      </c>
      <c r="B24" s="23" t="s">
        <v>137</v>
      </c>
      <c r="C24" s="23" t="s">
        <v>194</v>
      </c>
      <c r="D24" s="23" t="s">
        <v>389</v>
      </c>
      <c r="E24" s="23" t="s">
        <v>530</v>
      </c>
      <c r="F24" s="23" t="s">
        <v>758</v>
      </c>
      <c r="G24" s="23" t="s">
        <v>816</v>
      </c>
      <c r="H24" s="23" t="s">
        <v>896</v>
      </c>
      <c r="I24" s="23" t="s">
        <v>939</v>
      </c>
      <c r="J24" s="23" t="s">
        <v>952</v>
      </c>
      <c r="K24" s="23" t="s">
        <v>315</v>
      </c>
      <c r="L24" s="23" t="s">
        <v>1044</v>
      </c>
      <c r="M24" s="23" t="s">
        <v>1045</v>
      </c>
    </row>
    <row r="25" customFormat="false" ht="15" hidden="false" customHeight="true" outlineLevel="0" collapsed="false">
      <c r="A25" s="8" t="s">
        <v>139</v>
      </c>
      <c r="B25" s="10" t="s">
        <v>140</v>
      </c>
      <c r="C25" s="17" t="n">
        <f aca="false">COUNTIFS(Codificacion!$S$2:$S$177,1,Codificacion!$B$2:$B$177,"Cuenta básica",Codificacion!$F$2:$F$177,"Vigente")+COUNTIFS(Codificacion!$S$2:$S$177,1,Codificacion!$B$2:$B$177,"Cuenta básica",Codificacion!$F$2:$F$177,"Aplicable_desde_2023*")+COUNTIFS(Codificacion!$S$2:$S$177,1,Codificacion!$B$2:$B$177,"Cuenta básica",Codificacion!$F$2:$F$177,"Aplicable_desde_2026-07*")+COUNTIFS(Codificacion!$S$2:$S$177,1,Codificacion!$B$2:$B$177,"Cuenta básica",Codificacion!$F$2:$F$177,"Aplicable_desde_2026-08*")</f>
        <v>2</v>
      </c>
      <c r="D25" s="17" t="n">
        <f aca="false">COUNTIFS(Codificacion!$S$2:$S$177,1,Codificacion!$B$2:$B$177,"AML",Codificacion!$F$2:$F$177,"Vigente")+COUNTIFS(Codificacion!$S$2:$S$177,1,Codificacion!$B$2:$B$177,"AML",Codificacion!$F$2:$F$177,"Aplicable_desde_2023*")+COUNTIFS(Codificacion!$S$2:$S$177,1,Codificacion!$B$2:$B$177,"AML",Codificacion!$F$2:$F$177,"Aplicable_desde_2026-07*")+COUNTIFS(Codificacion!$S$2:$S$177,1,Codificacion!$B$2:$B$177,"AML",Codificacion!$F$2:$F$177,"Aplicable_desde_2026-08*")</f>
        <v>1</v>
      </c>
      <c r="E25" s="17" t="n">
        <f aca="false">COUNTIFS(Codificacion!$S$2:$S$177,1,Codificacion!$B$2:$B$177,"Directrices EBA",Codificacion!$F$2:$F$177,"Vigente")+COUNTIFS(Codificacion!$S$2:$S$177,1,Codificacion!$B$2:$B$177,"Directrices EBA",Codificacion!$F$2:$F$177,"Aplicable_desde_2023*")+COUNTIFS(Codificacion!$S$2:$S$177,1,Codificacion!$B$2:$B$177,"Directrices EBA",Codificacion!$F$2:$F$177,"Aplicable_desde_2026-07*")+COUNTIFS(Codificacion!$S$2:$S$177,1,Codificacion!$B$2:$B$177,"Directrices EBA",Codificacion!$F$2:$F$177,"Aplicable_desde_2026-08*")</f>
        <v>3</v>
      </c>
      <c r="F25" s="17" t="n">
        <f aca="false">COUNTIFS(Codificacion!$S$2:$S$177,1,Codificacion!$B$2:$B$177,"RGPD",Codificacion!$F$2:$F$177,"Vigente")+COUNTIFS(Codificacion!$S$2:$S$177,1,Codificacion!$B$2:$B$177,"RGPD",Codificacion!$F$2:$F$177,"Aplicable_desde_2023*")+COUNTIFS(Codificacion!$S$2:$S$177,1,Codificacion!$B$2:$B$177,"RGPD",Codificacion!$F$2:$F$177,"Aplicable_desde_2026-07*")+COUNTIFS(Codificacion!$S$2:$S$177,1,Codificacion!$B$2:$B$177,"RGPD",Codificacion!$F$2:$F$177,"Aplicable_desde_2026-08*")</f>
        <v>3</v>
      </c>
      <c r="G25" s="17" t="n">
        <f aca="false">COUNTIFS(Codificacion!$S$2:$S$177,1,Codificacion!$B$2:$B$177,"AI Act",Codificacion!$F$2:$F$177,"Vigente")+COUNTIFS(Codificacion!$S$2:$S$177,1,Codificacion!$B$2:$B$177,"AI Act",Codificacion!$F$2:$F$177,"Aplicable_desde_2023*")+COUNTIFS(Codificacion!$S$2:$S$177,1,Codificacion!$B$2:$B$177,"AI Act",Codificacion!$F$2:$F$177,"Aplicable_desde_2026-07*")+COUNTIFS(Codificacion!$S$2:$S$177,1,Codificacion!$B$2:$B$177,"AI Act",Codificacion!$F$2:$F$177,"Aplicable_desde_2026-08*")</f>
        <v>0</v>
      </c>
      <c r="H25" s="17" t="n">
        <f aca="false">COUNTIFS(Codificacion!$S$2:$S$177,1,Codificacion!$B$2:$B$177,"DORA",Codificacion!$F$2:$F$177,"Vigente")+COUNTIFS(Codificacion!$S$2:$S$177,1,Codificacion!$B$2:$B$177,"DORA",Codificacion!$F$2:$F$177,"Aplicable_desde_2023*")+COUNTIFS(Codificacion!$S$2:$S$177,1,Codificacion!$B$2:$B$177,"DORA",Codificacion!$F$2:$F$177,"Aplicable_desde_2026-07*")+COUNTIFS(Codificacion!$S$2:$S$177,1,Codificacion!$B$2:$B$177,"DORA",Codificacion!$F$2:$F$177,"Aplicable_desde_2026-08*")</f>
        <v>0</v>
      </c>
      <c r="I25" s="17" t="n">
        <f aca="false">COUNTIFS(Codificacion!$S$2:$S$177,1,Codificacion!$B$2:$B$177,"eIDAS 2",Codificacion!$F$2:$F$177,"Vigente")+COUNTIFS(Codificacion!$S$2:$S$177,1,Codificacion!$B$2:$B$177,"eIDAS 2",Codificacion!$F$2:$F$177,"Aplicable_desde_2023*")+COUNTIFS(Codificacion!$S$2:$S$177,1,Codificacion!$B$2:$B$177,"eIDAS 2",Codificacion!$F$2:$F$177,"Aplicable_desde_2026-07*")+COUNTIFS(Codificacion!$S$2:$S$177,1,Codificacion!$B$2:$B$177,"eIDAS 2",Codificacion!$F$2:$F$177,"Aplicable_desde_2026-08*")</f>
        <v>0</v>
      </c>
      <c r="J25" s="17" t="n">
        <f aca="false">COUNTIFS(Codificacion!$S$2:$S$177,1,Codificacion!$B$2:$B$177,"Accesibilidad",Codificacion!$F$2:$F$177,"Vigente")+COUNTIFS(Codificacion!$S$2:$S$177,1,Codificacion!$B$2:$B$177,"Accesibilidad",Codificacion!$F$2:$F$177,"Aplicable_desde_2023*")+COUNTIFS(Codificacion!$S$2:$S$177,1,Codificacion!$B$2:$B$177,"Accesibilidad",Codificacion!$F$2:$F$177,"Aplicable_desde_2026-07*")+COUNTIFS(Codificacion!$S$2:$S$177,1,Codificacion!$B$2:$B$177,"Accesibilidad",Codificacion!$F$2:$F$177,"Aplicable_desde_2026-08*")</f>
        <v>2</v>
      </c>
      <c r="K25" s="17" t="n">
        <f aca="false">COUNTIFS(Codificacion!$S$2:$S$177,1,Codificacion!$B$2:$B$177,"Atención al cliente ES",Codificacion!$F$2:$F$177,"Vigente")+COUNTIFS(Codificacion!$S$2:$S$177,1,Codificacion!$B$2:$B$177,"Atención al cliente ES",Codificacion!$F$2:$F$177,"Aplicable_desde_2023*")+COUNTIFS(Codificacion!$S$2:$S$177,1,Codificacion!$B$2:$B$177,"Atención al cliente ES",Codificacion!$F$2:$F$177,"Aplicable_desde_2026-07*")+COUNTIFS(Codificacion!$S$2:$S$177,1,Codificacion!$B$2:$B$177,"Atención al cliente ES",Codificacion!$F$2:$F$177,"Aplicable_desde_2026-08*")</f>
        <v>1</v>
      </c>
      <c r="L25" s="24" t="n">
        <f aca="false">SUM(C25:K25)</f>
        <v>12</v>
      </c>
      <c r="M25" s="24" t="n">
        <f aca="false">COUNTIF(C25:K25,"&gt;0")</f>
        <v>6</v>
      </c>
    </row>
    <row r="26" customFormat="false" ht="15" hidden="false" customHeight="true" outlineLevel="0" collapsed="false">
      <c r="A26" s="8" t="s">
        <v>142</v>
      </c>
      <c r="B26" s="10" t="s">
        <v>143</v>
      </c>
      <c r="C26" s="17" t="n">
        <f aca="false">COUNTIFS(Codificacion!$T$2:$T$177,1,Codificacion!$B$2:$B$177,"Cuenta básica",Codificacion!$F$2:$F$177,"Vigente")+COUNTIFS(Codificacion!$T$2:$T$177,1,Codificacion!$B$2:$B$177,"Cuenta básica",Codificacion!$F$2:$F$177,"Aplicable_desde_2023*")+COUNTIFS(Codificacion!$T$2:$T$177,1,Codificacion!$B$2:$B$177,"Cuenta básica",Codificacion!$F$2:$F$177,"Aplicable_desde_2026-07*")+COUNTIFS(Codificacion!$T$2:$T$177,1,Codificacion!$B$2:$B$177,"Cuenta básica",Codificacion!$F$2:$F$177,"Aplicable_desde_2026-08*")</f>
        <v>0</v>
      </c>
      <c r="D26" s="17" t="n">
        <f aca="false">COUNTIFS(Codificacion!$T$2:$T$177,1,Codificacion!$B$2:$B$177,"AML",Codificacion!$F$2:$F$177,"Vigente")+COUNTIFS(Codificacion!$T$2:$T$177,1,Codificacion!$B$2:$B$177,"AML",Codificacion!$F$2:$F$177,"Aplicable_desde_2023*")+COUNTIFS(Codificacion!$T$2:$T$177,1,Codificacion!$B$2:$B$177,"AML",Codificacion!$F$2:$F$177,"Aplicable_desde_2026-07*")+COUNTIFS(Codificacion!$T$2:$T$177,1,Codificacion!$B$2:$B$177,"AML",Codificacion!$F$2:$F$177,"Aplicable_desde_2026-08*")</f>
        <v>2</v>
      </c>
      <c r="E26" s="17" t="n">
        <f aca="false">COUNTIFS(Codificacion!$T$2:$T$177,1,Codificacion!$B$2:$B$177,"Directrices EBA",Codificacion!$F$2:$F$177,"Vigente")+COUNTIFS(Codificacion!$T$2:$T$177,1,Codificacion!$B$2:$B$177,"Directrices EBA",Codificacion!$F$2:$F$177,"Aplicable_desde_2023*")+COUNTIFS(Codificacion!$T$2:$T$177,1,Codificacion!$B$2:$B$177,"Directrices EBA",Codificacion!$F$2:$F$177,"Aplicable_desde_2026-07*")+COUNTIFS(Codificacion!$T$2:$T$177,1,Codificacion!$B$2:$B$177,"Directrices EBA",Codificacion!$F$2:$F$177,"Aplicable_desde_2026-08*")</f>
        <v>0</v>
      </c>
      <c r="F26" s="17" t="n">
        <f aca="false">COUNTIFS(Codificacion!$T$2:$T$177,1,Codificacion!$B$2:$B$177,"RGPD",Codificacion!$F$2:$F$177,"Vigente")+COUNTIFS(Codificacion!$T$2:$T$177,1,Codificacion!$B$2:$B$177,"RGPD",Codificacion!$F$2:$F$177,"Aplicable_desde_2023*")+COUNTIFS(Codificacion!$T$2:$T$177,1,Codificacion!$B$2:$B$177,"RGPD",Codificacion!$F$2:$F$177,"Aplicable_desde_2026-07*")+COUNTIFS(Codificacion!$T$2:$T$177,1,Codificacion!$B$2:$B$177,"RGPD",Codificacion!$F$2:$F$177,"Aplicable_desde_2026-08*")</f>
        <v>0</v>
      </c>
      <c r="G26" s="17" t="n">
        <f aca="false">COUNTIFS(Codificacion!$T$2:$T$177,1,Codificacion!$B$2:$B$177,"AI Act",Codificacion!$F$2:$F$177,"Vigente")+COUNTIFS(Codificacion!$T$2:$T$177,1,Codificacion!$B$2:$B$177,"AI Act",Codificacion!$F$2:$F$177,"Aplicable_desde_2023*")+COUNTIFS(Codificacion!$T$2:$T$177,1,Codificacion!$B$2:$B$177,"AI Act",Codificacion!$F$2:$F$177,"Aplicable_desde_2026-07*")+COUNTIFS(Codificacion!$T$2:$T$177,1,Codificacion!$B$2:$B$177,"AI Act",Codificacion!$F$2:$F$177,"Aplicable_desde_2026-08*")</f>
        <v>0</v>
      </c>
      <c r="H26" s="17" t="n">
        <f aca="false">COUNTIFS(Codificacion!$T$2:$T$177,1,Codificacion!$B$2:$B$177,"DORA",Codificacion!$F$2:$F$177,"Vigente")+COUNTIFS(Codificacion!$T$2:$T$177,1,Codificacion!$B$2:$B$177,"DORA",Codificacion!$F$2:$F$177,"Aplicable_desde_2023*")+COUNTIFS(Codificacion!$T$2:$T$177,1,Codificacion!$B$2:$B$177,"DORA",Codificacion!$F$2:$F$177,"Aplicable_desde_2026-07*")+COUNTIFS(Codificacion!$T$2:$T$177,1,Codificacion!$B$2:$B$177,"DORA",Codificacion!$F$2:$F$177,"Aplicable_desde_2026-08*")</f>
        <v>0</v>
      </c>
      <c r="I26" s="17" t="n">
        <f aca="false">COUNTIFS(Codificacion!$T$2:$T$177,1,Codificacion!$B$2:$B$177,"eIDAS 2",Codificacion!$F$2:$F$177,"Vigente")+COUNTIFS(Codificacion!$T$2:$T$177,1,Codificacion!$B$2:$B$177,"eIDAS 2",Codificacion!$F$2:$F$177,"Aplicable_desde_2023*")+COUNTIFS(Codificacion!$T$2:$T$177,1,Codificacion!$B$2:$B$177,"eIDAS 2",Codificacion!$F$2:$F$177,"Aplicable_desde_2026-07*")+COUNTIFS(Codificacion!$T$2:$T$177,1,Codificacion!$B$2:$B$177,"eIDAS 2",Codificacion!$F$2:$F$177,"Aplicable_desde_2026-08*")</f>
        <v>0</v>
      </c>
      <c r="J26" s="17" t="n">
        <f aca="false">COUNTIFS(Codificacion!$T$2:$T$177,1,Codificacion!$B$2:$B$177,"Accesibilidad",Codificacion!$F$2:$F$177,"Vigente")+COUNTIFS(Codificacion!$T$2:$T$177,1,Codificacion!$B$2:$B$177,"Accesibilidad",Codificacion!$F$2:$F$177,"Aplicable_desde_2023*")+COUNTIFS(Codificacion!$T$2:$T$177,1,Codificacion!$B$2:$B$177,"Accesibilidad",Codificacion!$F$2:$F$177,"Aplicable_desde_2026-07*")+COUNTIFS(Codificacion!$T$2:$T$177,1,Codificacion!$B$2:$B$177,"Accesibilidad",Codificacion!$F$2:$F$177,"Aplicable_desde_2026-08*")</f>
        <v>1</v>
      </c>
      <c r="K26" s="17" t="n">
        <f aca="false">COUNTIFS(Codificacion!$T$2:$T$177,1,Codificacion!$B$2:$B$177,"Atención al cliente ES",Codificacion!$F$2:$F$177,"Vigente")+COUNTIFS(Codificacion!$T$2:$T$177,1,Codificacion!$B$2:$B$177,"Atención al cliente ES",Codificacion!$F$2:$F$177,"Aplicable_desde_2023*")+COUNTIFS(Codificacion!$T$2:$T$177,1,Codificacion!$B$2:$B$177,"Atención al cliente ES",Codificacion!$F$2:$F$177,"Aplicable_desde_2026-07*")+COUNTIFS(Codificacion!$T$2:$T$177,1,Codificacion!$B$2:$B$177,"Atención al cliente ES",Codificacion!$F$2:$F$177,"Aplicable_desde_2026-08*")</f>
        <v>0</v>
      </c>
      <c r="L26" s="24" t="n">
        <f aca="false">SUM(C26:K26)</f>
        <v>3</v>
      </c>
      <c r="M26" s="24" t="n">
        <f aca="false">COUNTIF(C26:K26,"&gt;0")</f>
        <v>2</v>
      </c>
    </row>
    <row r="27" customFormat="false" ht="15" hidden="false" customHeight="true" outlineLevel="0" collapsed="false">
      <c r="A27" s="8" t="s">
        <v>144</v>
      </c>
      <c r="B27" s="10" t="s">
        <v>145</v>
      </c>
      <c r="C27" s="17" t="n">
        <f aca="false">COUNTIFS(Codificacion!$U$2:$U$177,1,Codificacion!$B$2:$B$177,"Cuenta básica",Codificacion!$F$2:$F$177,"Vigente")+COUNTIFS(Codificacion!$U$2:$U$177,1,Codificacion!$B$2:$B$177,"Cuenta básica",Codificacion!$F$2:$F$177,"Aplicable_desde_2023*")+COUNTIFS(Codificacion!$U$2:$U$177,1,Codificacion!$B$2:$B$177,"Cuenta básica",Codificacion!$F$2:$F$177,"Aplicable_desde_2026-07*")+COUNTIFS(Codificacion!$U$2:$U$177,1,Codificacion!$B$2:$B$177,"Cuenta básica",Codificacion!$F$2:$F$177,"Aplicable_desde_2026-08*")</f>
        <v>0</v>
      </c>
      <c r="D27" s="17" t="n">
        <f aca="false">COUNTIFS(Codificacion!$U$2:$U$177,1,Codificacion!$B$2:$B$177,"AML",Codificacion!$F$2:$F$177,"Vigente")+COUNTIFS(Codificacion!$U$2:$U$177,1,Codificacion!$B$2:$B$177,"AML",Codificacion!$F$2:$F$177,"Aplicable_desde_2023*")+COUNTIFS(Codificacion!$U$2:$U$177,1,Codificacion!$B$2:$B$177,"AML",Codificacion!$F$2:$F$177,"Aplicable_desde_2026-07*")+COUNTIFS(Codificacion!$U$2:$U$177,1,Codificacion!$B$2:$B$177,"AML",Codificacion!$F$2:$F$177,"Aplicable_desde_2026-08*")</f>
        <v>0</v>
      </c>
      <c r="E27" s="17" t="n">
        <f aca="false">COUNTIFS(Codificacion!$U$2:$U$177,1,Codificacion!$B$2:$B$177,"Directrices EBA",Codificacion!$F$2:$F$177,"Vigente")+COUNTIFS(Codificacion!$U$2:$U$177,1,Codificacion!$B$2:$B$177,"Directrices EBA",Codificacion!$F$2:$F$177,"Aplicable_desde_2023*")+COUNTIFS(Codificacion!$U$2:$U$177,1,Codificacion!$B$2:$B$177,"Directrices EBA",Codificacion!$F$2:$F$177,"Aplicable_desde_2026-07*")+COUNTIFS(Codificacion!$U$2:$U$177,1,Codificacion!$B$2:$B$177,"Directrices EBA",Codificacion!$F$2:$F$177,"Aplicable_desde_2026-08*")</f>
        <v>3</v>
      </c>
      <c r="F27" s="17" t="n">
        <f aca="false">COUNTIFS(Codificacion!$U$2:$U$177,1,Codificacion!$B$2:$B$177,"RGPD",Codificacion!$F$2:$F$177,"Vigente")+COUNTIFS(Codificacion!$U$2:$U$177,1,Codificacion!$B$2:$B$177,"RGPD",Codificacion!$F$2:$F$177,"Aplicable_desde_2023*")+COUNTIFS(Codificacion!$U$2:$U$177,1,Codificacion!$B$2:$B$177,"RGPD",Codificacion!$F$2:$F$177,"Aplicable_desde_2026-07*")+COUNTIFS(Codificacion!$U$2:$U$177,1,Codificacion!$B$2:$B$177,"RGPD",Codificacion!$F$2:$F$177,"Aplicable_desde_2026-08*")</f>
        <v>0</v>
      </c>
      <c r="G27" s="17" t="n">
        <f aca="false">COUNTIFS(Codificacion!$U$2:$U$177,1,Codificacion!$B$2:$B$177,"AI Act",Codificacion!$F$2:$F$177,"Vigente")+COUNTIFS(Codificacion!$U$2:$U$177,1,Codificacion!$B$2:$B$177,"AI Act",Codificacion!$F$2:$F$177,"Aplicable_desde_2023*")+COUNTIFS(Codificacion!$U$2:$U$177,1,Codificacion!$B$2:$B$177,"AI Act",Codificacion!$F$2:$F$177,"Aplicable_desde_2026-07*")+COUNTIFS(Codificacion!$U$2:$U$177,1,Codificacion!$B$2:$B$177,"AI Act",Codificacion!$F$2:$F$177,"Aplicable_desde_2026-08*")</f>
        <v>0</v>
      </c>
      <c r="H27" s="17" t="n">
        <f aca="false">COUNTIFS(Codificacion!$U$2:$U$177,1,Codificacion!$B$2:$B$177,"DORA",Codificacion!$F$2:$F$177,"Vigente")+COUNTIFS(Codificacion!$U$2:$U$177,1,Codificacion!$B$2:$B$177,"DORA",Codificacion!$F$2:$F$177,"Aplicable_desde_2023*")+COUNTIFS(Codificacion!$U$2:$U$177,1,Codificacion!$B$2:$B$177,"DORA",Codificacion!$F$2:$F$177,"Aplicable_desde_2026-07*")+COUNTIFS(Codificacion!$U$2:$U$177,1,Codificacion!$B$2:$B$177,"DORA",Codificacion!$F$2:$F$177,"Aplicable_desde_2026-08*")</f>
        <v>8</v>
      </c>
      <c r="I27" s="17" t="n">
        <f aca="false">COUNTIFS(Codificacion!$U$2:$U$177,1,Codificacion!$B$2:$B$177,"eIDAS 2",Codificacion!$F$2:$F$177,"Vigente")+COUNTIFS(Codificacion!$U$2:$U$177,1,Codificacion!$B$2:$B$177,"eIDAS 2",Codificacion!$F$2:$F$177,"Aplicable_desde_2023*")+COUNTIFS(Codificacion!$U$2:$U$177,1,Codificacion!$B$2:$B$177,"eIDAS 2",Codificacion!$F$2:$F$177,"Aplicable_desde_2026-07*")+COUNTIFS(Codificacion!$U$2:$U$177,1,Codificacion!$B$2:$B$177,"eIDAS 2",Codificacion!$F$2:$F$177,"Aplicable_desde_2026-08*")</f>
        <v>0</v>
      </c>
      <c r="J27" s="17" t="n">
        <f aca="false">COUNTIFS(Codificacion!$U$2:$U$177,1,Codificacion!$B$2:$B$177,"Accesibilidad",Codificacion!$F$2:$F$177,"Vigente")+COUNTIFS(Codificacion!$U$2:$U$177,1,Codificacion!$B$2:$B$177,"Accesibilidad",Codificacion!$F$2:$F$177,"Aplicable_desde_2023*")+COUNTIFS(Codificacion!$U$2:$U$177,1,Codificacion!$B$2:$B$177,"Accesibilidad",Codificacion!$F$2:$F$177,"Aplicable_desde_2026-07*")+COUNTIFS(Codificacion!$U$2:$U$177,1,Codificacion!$B$2:$B$177,"Accesibilidad",Codificacion!$F$2:$F$177,"Aplicable_desde_2026-08*")</f>
        <v>0</v>
      </c>
      <c r="K27" s="17" t="n">
        <f aca="false">COUNTIFS(Codificacion!$U$2:$U$177,1,Codificacion!$B$2:$B$177,"Atención al cliente ES",Codificacion!$F$2:$F$177,"Vigente")+COUNTIFS(Codificacion!$U$2:$U$177,1,Codificacion!$B$2:$B$177,"Atención al cliente ES",Codificacion!$F$2:$F$177,"Aplicable_desde_2023*")+COUNTIFS(Codificacion!$U$2:$U$177,1,Codificacion!$B$2:$B$177,"Atención al cliente ES",Codificacion!$F$2:$F$177,"Aplicable_desde_2026-07*")+COUNTIFS(Codificacion!$U$2:$U$177,1,Codificacion!$B$2:$B$177,"Atención al cliente ES",Codificacion!$F$2:$F$177,"Aplicable_desde_2026-08*")</f>
        <v>0</v>
      </c>
      <c r="L27" s="24" t="n">
        <f aca="false">SUM(C27:K27)</f>
        <v>11</v>
      </c>
      <c r="M27" s="24" t="n">
        <f aca="false">COUNTIF(C27:K27,"&gt;0")</f>
        <v>2</v>
      </c>
    </row>
    <row r="28" customFormat="false" ht="15" hidden="false" customHeight="true" outlineLevel="0" collapsed="false">
      <c r="A28" s="8" t="s">
        <v>146</v>
      </c>
      <c r="B28" s="10" t="s">
        <v>147</v>
      </c>
      <c r="C28" s="17" t="n">
        <f aca="false">COUNTIFS(Codificacion!$V$2:$V$177,1,Codificacion!$B$2:$B$177,"Cuenta básica",Codificacion!$F$2:$F$177,"Vigente")+COUNTIFS(Codificacion!$V$2:$V$177,1,Codificacion!$B$2:$B$177,"Cuenta básica",Codificacion!$F$2:$F$177,"Aplicable_desde_2023*")+COUNTIFS(Codificacion!$V$2:$V$177,1,Codificacion!$B$2:$B$177,"Cuenta básica",Codificacion!$F$2:$F$177,"Aplicable_desde_2026-07*")+COUNTIFS(Codificacion!$V$2:$V$177,1,Codificacion!$B$2:$B$177,"Cuenta básica",Codificacion!$F$2:$F$177,"Aplicable_desde_2026-08*")</f>
        <v>0</v>
      </c>
      <c r="D28" s="17" t="n">
        <f aca="false">COUNTIFS(Codificacion!$V$2:$V$177,1,Codificacion!$B$2:$B$177,"AML",Codificacion!$F$2:$F$177,"Vigente")+COUNTIFS(Codificacion!$V$2:$V$177,1,Codificacion!$B$2:$B$177,"AML",Codificacion!$F$2:$F$177,"Aplicable_desde_2023*")+COUNTIFS(Codificacion!$V$2:$V$177,1,Codificacion!$B$2:$B$177,"AML",Codificacion!$F$2:$F$177,"Aplicable_desde_2026-07*")+COUNTIFS(Codificacion!$V$2:$V$177,1,Codificacion!$B$2:$B$177,"AML",Codificacion!$F$2:$F$177,"Aplicable_desde_2026-08*")</f>
        <v>4</v>
      </c>
      <c r="E28" s="17" t="n">
        <f aca="false">COUNTIFS(Codificacion!$V$2:$V$177,1,Codificacion!$B$2:$B$177,"Directrices EBA",Codificacion!$F$2:$F$177,"Vigente")+COUNTIFS(Codificacion!$V$2:$V$177,1,Codificacion!$B$2:$B$177,"Directrices EBA",Codificacion!$F$2:$F$177,"Aplicable_desde_2023*")+COUNTIFS(Codificacion!$V$2:$V$177,1,Codificacion!$B$2:$B$177,"Directrices EBA",Codificacion!$F$2:$F$177,"Aplicable_desde_2026-07*")+COUNTIFS(Codificacion!$V$2:$V$177,1,Codificacion!$B$2:$B$177,"Directrices EBA",Codificacion!$F$2:$F$177,"Aplicable_desde_2026-08*")</f>
        <v>10</v>
      </c>
      <c r="F28" s="17" t="n">
        <f aca="false">COUNTIFS(Codificacion!$V$2:$V$177,1,Codificacion!$B$2:$B$177,"RGPD",Codificacion!$F$2:$F$177,"Vigente")+COUNTIFS(Codificacion!$V$2:$V$177,1,Codificacion!$B$2:$B$177,"RGPD",Codificacion!$F$2:$F$177,"Aplicable_desde_2023*")+COUNTIFS(Codificacion!$V$2:$V$177,1,Codificacion!$B$2:$B$177,"RGPD",Codificacion!$F$2:$F$177,"Aplicable_desde_2026-07*")+COUNTIFS(Codificacion!$V$2:$V$177,1,Codificacion!$B$2:$B$177,"RGPD",Codificacion!$F$2:$F$177,"Aplicable_desde_2026-08*")</f>
        <v>0</v>
      </c>
      <c r="G28" s="17" t="n">
        <f aca="false">COUNTIFS(Codificacion!$V$2:$V$177,1,Codificacion!$B$2:$B$177,"AI Act",Codificacion!$F$2:$F$177,"Vigente")+COUNTIFS(Codificacion!$V$2:$V$177,1,Codificacion!$B$2:$B$177,"AI Act",Codificacion!$F$2:$F$177,"Aplicable_desde_2023*")+COUNTIFS(Codificacion!$V$2:$V$177,1,Codificacion!$B$2:$B$177,"AI Act",Codificacion!$F$2:$F$177,"Aplicable_desde_2026-07*")+COUNTIFS(Codificacion!$V$2:$V$177,1,Codificacion!$B$2:$B$177,"AI Act",Codificacion!$F$2:$F$177,"Aplicable_desde_2026-08*")</f>
        <v>0</v>
      </c>
      <c r="H28" s="17" t="n">
        <f aca="false">COUNTIFS(Codificacion!$V$2:$V$177,1,Codificacion!$B$2:$B$177,"DORA",Codificacion!$F$2:$F$177,"Vigente")+COUNTIFS(Codificacion!$V$2:$V$177,1,Codificacion!$B$2:$B$177,"DORA",Codificacion!$F$2:$F$177,"Aplicable_desde_2023*")+COUNTIFS(Codificacion!$V$2:$V$177,1,Codificacion!$B$2:$B$177,"DORA",Codificacion!$F$2:$F$177,"Aplicable_desde_2026-07*")+COUNTIFS(Codificacion!$V$2:$V$177,1,Codificacion!$B$2:$B$177,"DORA",Codificacion!$F$2:$F$177,"Aplicable_desde_2026-08*")</f>
        <v>0</v>
      </c>
      <c r="I28" s="17" t="n">
        <f aca="false">COUNTIFS(Codificacion!$V$2:$V$177,1,Codificacion!$B$2:$B$177,"eIDAS 2",Codificacion!$F$2:$F$177,"Vigente")+COUNTIFS(Codificacion!$V$2:$V$177,1,Codificacion!$B$2:$B$177,"eIDAS 2",Codificacion!$F$2:$F$177,"Aplicable_desde_2023*")+COUNTIFS(Codificacion!$V$2:$V$177,1,Codificacion!$B$2:$B$177,"eIDAS 2",Codificacion!$F$2:$F$177,"Aplicable_desde_2026-07*")+COUNTIFS(Codificacion!$V$2:$V$177,1,Codificacion!$B$2:$B$177,"eIDAS 2",Codificacion!$F$2:$F$177,"Aplicable_desde_2026-08*")</f>
        <v>0</v>
      </c>
      <c r="J28" s="17" t="n">
        <f aca="false">COUNTIFS(Codificacion!$V$2:$V$177,1,Codificacion!$B$2:$B$177,"Accesibilidad",Codificacion!$F$2:$F$177,"Vigente")+COUNTIFS(Codificacion!$V$2:$V$177,1,Codificacion!$B$2:$B$177,"Accesibilidad",Codificacion!$F$2:$F$177,"Aplicable_desde_2023*")+COUNTIFS(Codificacion!$V$2:$V$177,1,Codificacion!$B$2:$B$177,"Accesibilidad",Codificacion!$F$2:$F$177,"Aplicable_desde_2026-07*")+COUNTIFS(Codificacion!$V$2:$V$177,1,Codificacion!$B$2:$B$177,"Accesibilidad",Codificacion!$F$2:$F$177,"Aplicable_desde_2026-08*")</f>
        <v>0</v>
      </c>
      <c r="K28" s="17" t="n">
        <f aca="false">COUNTIFS(Codificacion!$V$2:$V$177,1,Codificacion!$B$2:$B$177,"Atención al cliente ES",Codificacion!$F$2:$F$177,"Vigente")+COUNTIFS(Codificacion!$V$2:$V$177,1,Codificacion!$B$2:$B$177,"Atención al cliente ES",Codificacion!$F$2:$F$177,"Aplicable_desde_2023*")+COUNTIFS(Codificacion!$V$2:$V$177,1,Codificacion!$B$2:$B$177,"Atención al cliente ES",Codificacion!$F$2:$F$177,"Aplicable_desde_2026-07*")+COUNTIFS(Codificacion!$V$2:$V$177,1,Codificacion!$B$2:$B$177,"Atención al cliente ES",Codificacion!$F$2:$F$177,"Aplicable_desde_2026-08*")</f>
        <v>0</v>
      </c>
      <c r="L28" s="24" t="n">
        <f aca="false">SUM(C28:K28)</f>
        <v>14</v>
      </c>
      <c r="M28" s="24" t="n">
        <f aca="false">COUNTIF(C28:K28,"&gt;0")</f>
        <v>2</v>
      </c>
    </row>
    <row r="29" customFormat="false" ht="15" hidden="false" customHeight="true" outlineLevel="0" collapsed="false">
      <c r="A29" s="8" t="s">
        <v>148</v>
      </c>
      <c r="B29" s="10" t="s">
        <v>149</v>
      </c>
      <c r="C29" s="17" t="n">
        <f aca="false">COUNTIFS(Codificacion!$W$2:$W$177,1,Codificacion!$B$2:$B$177,"Cuenta básica",Codificacion!$F$2:$F$177,"Vigente")+COUNTIFS(Codificacion!$W$2:$W$177,1,Codificacion!$B$2:$B$177,"Cuenta básica",Codificacion!$F$2:$F$177,"Aplicable_desde_2023*")+COUNTIFS(Codificacion!$W$2:$W$177,1,Codificacion!$B$2:$B$177,"Cuenta básica",Codificacion!$F$2:$F$177,"Aplicable_desde_2026-07*")+COUNTIFS(Codificacion!$W$2:$W$177,1,Codificacion!$B$2:$B$177,"Cuenta básica",Codificacion!$F$2:$F$177,"Aplicable_desde_2026-08*")</f>
        <v>3</v>
      </c>
      <c r="D29" s="17" t="n">
        <f aca="false">COUNTIFS(Codificacion!$W$2:$W$177,1,Codificacion!$B$2:$B$177,"AML",Codificacion!$F$2:$F$177,"Vigente")+COUNTIFS(Codificacion!$W$2:$W$177,1,Codificacion!$B$2:$B$177,"AML",Codificacion!$F$2:$F$177,"Aplicable_desde_2023*")+COUNTIFS(Codificacion!$W$2:$W$177,1,Codificacion!$B$2:$B$177,"AML",Codificacion!$F$2:$F$177,"Aplicable_desde_2026-07*")+COUNTIFS(Codificacion!$W$2:$W$177,1,Codificacion!$B$2:$B$177,"AML",Codificacion!$F$2:$F$177,"Aplicable_desde_2026-08*")</f>
        <v>6</v>
      </c>
      <c r="E29" s="17" t="n">
        <f aca="false">COUNTIFS(Codificacion!$W$2:$W$177,1,Codificacion!$B$2:$B$177,"Directrices EBA",Codificacion!$F$2:$F$177,"Vigente")+COUNTIFS(Codificacion!$W$2:$W$177,1,Codificacion!$B$2:$B$177,"Directrices EBA",Codificacion!$F$2:$F$177,"Aplicable_desde_2023*")+COUNTIFS(Codificacion!$W$2:$W$177,1,Codificacion!$B$2:$B$177,"Directrices EBA",Codificacion!$F$2:$F$177,"Aplicable_desde_2026-07*")+COUNTIFS(Codificacion!$W$2:$W$177,1,Codificacion!$B$2:$B$177,"Directrices EBA",Codificacion!$F$2:$F$177,"Aplicable_desde_2026-08*")</f>
        <v>6</v>
      </c>
      <c r="F29" s="17" t="n">
        <f aca="false">COUNTIFS(Codificacion!$W$2:$W$177,1,Codificacion!$B$2:$B$177,"RGPD",Codificacion!$F$2:$F$177,"Vigente")+COUNTIFS(Codificacion!$W$2:$W$177,1,Codificacion!$B$2:$B$177,"RGPD",Codificacion!$F$2:$F$177,"Aplicable_desde_2023*")+COUNTIFS(Codificacion!$W$2:$W$177,1,Codificacion!$B$2:$B$177,"RGPD",Codificacion!$F$2:$F$177,"Aplicable_desde_2026-07*")+COUNTIFS(Codificacion!$W$2:$W$177,1,Codificacion!$B$2:$B$177,"RGPD",Codificacion!$F$2:$F$177,"Aplicable_desde_2026-08*")</f>
        <v>0</v>
      </c>
      <c r="G29" s="17" t="n">
        <f aca="false">COUNTIFS(Codificacion!$W$2:$W$177,1,Codificacion!$B$2:$B$177,"AI Act",Codificacion!$F$2:$F$177,"Vigente")+COUNTIFS(Codificacion!$W$2:$W$177,1,Codificacion!$B$2:$B$177,"AI Act",Codificacion!$F$2:$F$177,"Aplicable_desde_2023*")+COUNTIFS(Codificacion!$W$2:$W$177,1,Codificacion!$B$2:$B$177,"AI Act",Codificacion!$F$2:$F$177,"Aplicable_desde_2026-07*")+COUNTIFS(Codificacion!$W$2:$W$177,1,Codificacion!$B$2:$B$177,"AI Act",Codificacion!$F$2:$F$177,"Aplicable_desde_2026-08*")</f>
        <v>0</v>
      </c>
      <c r="H29" s="17" t="n">
        <f aca="false">COUNTIFS(Codificacion!$W$2:$W$177,1,Codificacion!$B$2:$B$177,"DORA",Codificacion!$F$2:$F$177,"Vigente")+COUNTIFS(Codificacion!$W$2:$W$177,1,Codificacion!$B$2:$B$177,"DORA",Codificacion!$F$2:$F$177,"Aplicable_desde_2023*")+COUNTIFS(Codificacion!$W$2:$W$177,1,Codificacion!$B$2:$B$177,"DORA",Codificacion!$F$2:$F$177,"Aplicable_desde_2026-07*")+COUNTIFS(Codificacion!$W$2:$W$177,1,Codificacion!$B$2:$B$177,"DORA",Codificacion!$F$2:$F$177,"Aplicable_desde_2026-08*")</f>
        <v>0</v>
      </c>
      <c r="I29" s="17" t="n">
        <f aca="false">COUNTIFS(Codificacion!$W$2:$W$177,1,Codificacion!$B$2:$B$177,"eIDAS 2",Codificacion!$F$2:$F$177,"Vigente")+COUNTIFS(Codificacion!$W$2:$W$177,1,Codificacion!$B$2:$B$177,"eIDAS 2",Codificacion!$F$2:$F$177,"Aplicable_desde_2023*")+COUNTIFS(Codificacion!$W$2:$W$177,1,Codificacion!$B$2:$B$177,"eIDAS 2",Codificacion!$F$2:$F$177,"Aplicable_desde_2026-07*")+COUNTIFS(Codificacion!$W$2:$W$177,1,Codificacion!$B$2:$B$177,"eIDAS 2",Codificacion!$F$2:$F$177,"Aplicable_desde_2026-08*")</f>
        <v>0</v>
      </c>
      <c r="J29" s="17" t="n">
        <f aca="false">COUNTIFS(Codificacion!$W$2:$W$177,1,Codificacion!$B$2:$B$177,"Accesibilidad",Codificacion!$F$2:$F$177,"Vigente")+COUNTIFS(Codificacion!$W$2:$W$177,1,Codificacion!$B$2:$B$177,"Accesibilidad",Codificacion!$F$2:$F$177,"Aplicable_desde_2023*")+COUNTIFS(Codificacion!$W$2:$W$177,1,Codificacion!$B$2:$B$177,"Accesibilidad",Codificacion!$F$2:$F$177,"Aplicable_desde_2026-07*")+COUNTIFS(Codificacion!$W$2:$W$177,1,Codificacion!$B$2:$B$177,"Accesibilidad",Codificacion!$F$2:$F$177,"Aplicable_desde_2026-08*")</f>
        <v>0</v>
      </c>
      <c r="K29" s="17" t="n">
        <f aca="false">COUNTIFS(Codificacion!$W$2:$W$177,1,Codificacion!$B$2:$B$177,"Atención al cliente ES",Codificacion!$F$2:$F$177,"Vigente")+COUNTIFS(Codificacion!$W$2:$W$177,1,Codificacion!$B$2:$B$177,"Atención al cliente ES",Codificacion!$F$2:$F$177,"Aplicable_desde_2023*")+COUNTIFS(Codificacion!$W$2:$W$177,1,Codificacion!$B$2:$B$177,"Atención al cliente ES",Codificacion!$F$2:$F$177,"Aplicable_desde_2026-07*")+COUNTIFS(Codificacion!$W$2:$W$177,1,Codificacion!$B$2:$B$177,"Atención al cliente ES",Codificacion!$F$2:$F$177,"Aplicable_desde_2026-08*")</f>
        <v>0</v>
      </c>
      <c r="L29" s="24" t="n">
        <f aca="false">SUM(C29:K29)</f>
        <v>15</v>
      </c>
      <c r="M29" s="24" t="n">
        <f aca="false">COUNTIF(C29:K29,"&gt;0")</f>
        <v>3</v>
      </c>
    </row>
    <row r="30" customFormat="false" ht="15" hidden="false" customHeight="true" outlineLevel="0" collapsed="false">
      <c r="A30" s="8" t="s">
        <v>150</v>
      </c>
      <c r="B30" s="10" t="s">
        <v>151</v>
      </c>
      <c r="C30" s="17" t="n">
        <f aca="false">COUNTIFS(Codificacion!$X$2:$X$177,1,Codificacion!$B$2:$B$177,"Cuenta básica",Codificacion!$F$2:$F$177,"Vigente")+COUNTIFS(Codificacion!$X$2:$X$177,1,Codificacion!$B$2:$B$177,"Cuenta básica",Codificacion!$F$2:$F$177,"Aplicable_desde_2023*")+COUNTIFS(Codificacion!$X$2:$X$177,1,Codificacion!$B$2:$B$177,"Cuenta básica",Codificacion!$F$2:$F$177,"Aplicable_desde_2026-07*")+COUNTIFS(Codificacion!$X$2:$X$177,1,Codificacion!$B$2:$B$177,"Cuenta básica",Codificacion!$F$2:$F$177,"Aplicable_desde_2026-08*")</f>
        <v>0</v>
      </c>
      <c r="D30" s="17" t="n">
        <f aca="false">COUNTIFS(Codificacion!$X$2:$X$177,1,Codificacion!$B$2:$B$177,"AML",Codificacion!$F$2:$F$177,"Vigente")+COUNTIFS(Codificacion!$X$2:$X$177,1,Codificacion!$B$2:$B$177,"AML",Codificacion!$F$2:$F$177,"Aplicable_desde_2023*")+COUNTIFS(Codificacion!$X$2:$X$177,1,Codificacion!$B$2:$B$177,"AML",Codificacion!$F$2:$F$177,"Aplicable_desde_2026-07*")+COUNTIFS(Codificacion!$X$2:$X$177,1,Codificacion!$B$2:$B$177,"AML",Codificacion!$F$2:$F$177,"Aplicable_desde_2026-08*")</f>
        <v>2</v>
      </c>
      <c r="E30" s="17" t="n">
        <f aca="false">COUNTIFS(Codificacion!$X$2:$X$177,1,Codificacion!$B$2:$B$177,"Directrices EBA",Codificacion!$F$2:$F$177,"Vigente")+COUNTIFS(Codificacion!$X$2:$X$177,1,Codificacion!$B$2:$B$177,"Directrices EBA",Codificacion!$F$2:$F$177,"Aplicable_desde_2023*")+COUNTIFS(Codificacion!$X$2:$X$177,1,Codificacion!$B$2:$B$177,"Directrices EBA",Codificacion!$F$2:$F$177,"Aplicable_desde_2026-07*")+COUNTIFS(Codificacion!$X$2:$X$177,1,Codificacion!$B$2:$B$177,"Directrices EBA",Codificacion!$F$2:$F$177,"Aplicable_desde_2026-08*")</f>
        <v>12</v>
      </c>
      <c r="F30" s="17" t="n">
        <f aca="false">COUNTIFS(Codificacion!$X$2:$X$177,1,Codificacion!$B$2:$B$177,"RGPD",Codificacion!$F$2:$F$177,"Vigente")+COUNTIFS(Codificacion!$X$2:$X$177,1,Codificacion!$B$2:$B$177,"RGPD",Codificacion!$F$2:$F$177,"Aplicable_desde_2023*")+COUNTIFS(Codificacion!$X$2:$X$177,1,Codificacion!$B$2:$B$177,"RGPD",Codificacion!$F$2:$F$177,"Aplicable_desde_2026-07*")+COUNTIFS(Codificacion!$X$2:$X$177,1,Codificacion!$B$2:$B$177,"RGPD",Codificacion!$F$2:$F$177,"Aplicable_desde_2026-08*")</f>
        <v>1</v>
      </c>
      <c r="G30" s="17" t="n">
        <f aca="false">COUNTIFS(Codificacion!$X$2:$X$177,1,Codificacion!$B$2:$B$177,"AI Act",Codificacion!$F$2:$F$177,"Vigente")+COUNTIFS(Codificacion!$X$2:$X$177,1,Codificacion!$B$2:$B$177,"AI Act",Codificacion!$F$2:$F$177,"Aplicable_desde_2023*")+COUNTIFS(Codificacion!$X$2:$X$177,1,Codificacion!$B$2:$B$177,"AI Act",Codificacion!$F$2:$F$177,"Aplicable_desde_2026-07*")+COUNTIFS(Codificacion!$X$2:$X$177,1,Codificacion!$B$2:$B$177,"AI Act",Codificacion!$F$2:$F$177,"Aplicable_desde_2026-08*")</f>
        <v>0</v>
      </c>
      <c r="H30" s="17" t="n">
        <f aca="false">COUNTIFS(Codificacion!$X$2:$X$177,1,Codificacion!$B$2:$B$177,"DORA",Codificacion!$F$2:$F$177,"Vigente")+COUNTIFS(Codificacion!$X$2:$X$177,1,Codificacion!$B$2:$B$177,"DORA",Codificacion!$F$2:$F$177,"Aplicable_desde_2023*")+COUNTIFS(Codificacion!$X$2:$X$177,1,Codificacion!$B$2:$B$177,"DORA",Codificacion!$F$2:$F$177,"Aplicable_desde_2026-07*")+COUNTIFS(Codificacion!$X$2:$X$177,1,Codificacion!$B$2:$B$177,"DORA",Codificacion!$F$2:$F$177,"Aplicable_desde_2026-08*")</f>
        <v>0</v>
      </c>
      <c r="I30" s="17" t="n">
        <f aca="false">COUNTIFS(Codificacion!$X$2:$X$177,1,Codificacion!$B$2:$B$177,"eIDAS 2",Codificacion!$F$2:$F$177,"Vigente")+COUNTIFS(Codificacion!$X$2:$X$177,1,Codificacion!$B$2:$B$177,"eIDAS 2",Codificacion!$F$2:$F$177,"Aplicable_desde_2023*")+COUNTIFS(Codificacion!$X$2:$X$177,1,Codificacion!$B$2:$B$177,"eIDAS 2",Codificacion!$F$2:$F$177,"Aplicable_desde_2026-07*")+COUNTIFS(Codificacion!$X$2:$X$177,1,Codificacion!$B$2:$B$177,"eIDAS 2",Codificacion!$F$2:$F$177,"Aplicable_desde_2026-08*")</f>
        <v>0</v>
      </c>
      <c r="J30" s="17" t="n">
        <f aca="false">COUNTIFS(Codificacion!$X$2:$X$177,1,Codificacion!$B$2:$B$177,"Accesibilidad",Codificacion!$F$2:$F$177,"Vigente")+COUNTIFS(Codificacion!$X$2:$X$177,1,Codificacion!$B$2:$B$177,"Accesibilidad",Codificacion!$F$2:$F$177,"Aplicable_desde_2023*")+COUNTIFS(Codificacion!$X$2:$X$177,1,Codificacion!$B$2:$B$177,"Accesibilidad",Codificacion!$F$2:$F$177,"Aplicable_desde_2026-07*")+COUNTIFS(Codificacion!$X$2:$X$177,1,Codificacion!$B$2:$B$177,"Accesibilidad",Codificacion!$F$2:$F$177,"Aplicable_desde_2026-08*")</f>
        <v>0</v>
      </c>
      <c r="K30" s="17" t="n">
        <f aca="false">COUNTIFS(Codificacion!$X$2:$X$177,1,Codificacion!$B$2:$B$177,"Atención al cliente ES",Codificacion!$F$2:$F$177,"Vigente")+COUNTIFS(Codificacion!$X$2:$X$177,1,Codificacion!$B$2:$B$177,"Atención al cliente ES",Codificacion!$F$2:$F$177,"Aplicable_desde_2023*")+COUNTIFS(Codificacion!$X$2:$X$177,1,Codificacion!$B$2:$B$177,"Atención al cliente ES",Codificacion!$F$2:$F$177,"Aplicable_desde_2026-07*")+COUNTIFS(Codificacion!$X$2:$X$177,1,Codificacion!$B$2:$B$177,"Atención al cliente ES",Codificacion!$F$2:$F$177,"Aplicable_desde_2026-08*")</f>
        <v>0</v>
      </c>
      <c r="L30" s="24" t="n">
        <f aca="false">SUM(C30:K30)</f>
        <v>15</v>
      </c>
      <c r="M30" s="24" t="n">
        <f aca="false">COUNTIF(C30:K30,"&gt;0")</f>
        <v>3</v>
      </c>
    </row>
    <row r="31" customFormat="false" ht="15" hidden="false" customHeight="true" outlineLevel="0" collapsed="false">
      <c r="A31" s="8" t="s">
        <v>152</v>
      </c>
      <c r="B31" s="10" t="s">
        <v>153</v>
      </c>
      <c r="C31" s="17" t="n">
        <f aca="false">COUNTIFS(Codificacion!$Y$2:$Y$177,1,Codificacion!$B$2:$B$177,"Cuenta básica",Codificacion!$F$2:$F$177,"Vigente")+COUNTIFS(Codificacion!$Y$2:$Y$177,1,Codificacion!$B$2:$B$177,"Cuenta básica",Codificacion!$F$2:$F$177,"Aplicable_desde_2023*")+COUNTIFS(Codificacion!$Y$2:$Y$177,1,Codificacion!$B$2:$B$177,"Cuenta básica",Codificacion!$F$2:$F$177,"Aplicable_desde_2026-07*")+COUNTIFS(Codificacion!$Y$2:$Y$177,1,Codificacion!$B$2:$B$177,"Cuenta básica",Codificacion!$F$2:$F$177,"Aplicable_desde_2026-08*")</f>
        <v>0</v>
      </c>
      <c r="D31" s="17" t="n">
        <f aca="false">COUNTIFS(Codificacion!$Y$2:$Y$177,1,Codificacion!$B$2:$B$177,"AML",Codificacion!$F$2:$F$177,"Vigente")+COUNTIFS(Codificacion!$Y$2:$Y$177,1,Codificacion!$B$2:$B$177,"AML",Codificacion!$F$2:$F$177,"Aplicable_desde_2023*")+COUNTIFS(Codificacion!$Y$2:$Y$177,1,Codificacion!$B$2:$B$177,"AML",Codificacion!$F$2:$F$177,"Aplicable_desde_2026-07*")+COUNTIFS(Codificacion!$Y$2:$Y$177,1,Codificacion!$B$2:$B$177,"AML",Codificacion!$F$2:$F$177,"Aplicable_desde_2026-08*")</f>
        <v>0</v>
      </c>
      <c r="E31" s="17" t="n">
        <f aca="false">COUNTIFS(Codificacion!$Y$2:$Y$177,1,Codificacion!$B$2:$B$177,"Directrices EBA",Codificacion!$F$2:$F$177,"Vigente")+COUNTIFS(Codificacion!$Y$2:$Y$177,1,Codificacion!$B$2:$B$177,"Directrices EBA",Codificacion!$F$2:$F$177,"Aplicable_desde_2023*")+COUNTIFS(Codificacion!$Y$2:$Y$177,1,Codificacion!$B$2:$B$177,"Directrices EBA",Codificacion!$F$2:$F$177,"Aplicable_desde_2026-07*")+COUNTIFS(Codificacion!$Y$2:$Y$177,1,Codificacion!$B$2:$B$177,"Directrices EBA",Codificacion!$F$2:$F$177,"Aplicable_desde_2026-08*")</f>
        <v>0</v>
      </c>
      <c r="F31" s="17" t="n">
        <f aca="false">COUNTIFS(Codificacion!$Y$2:$Y$177,1,Codificacion!$B$2:$B$177,"RGPD",Codificacion!$F$2:$F$177,"Vigente")+COUNTIFS(Codificacion!$Y$2:$Y$177,1,Codificacion!$B$2:$B$177,"RGPD",Codificacion!$F$2:$F$177,"Aplicable_desde_2023*")+COUNTIFS(Codificacion!$Y$2:$Y$177,1,Codificacion!$B$2:$B$177,"RGPD",Codificacion!$F$2:$F$177,"Aplicable_desde_2026-07*")+COUNTIFS(Codificacion!$Y$2:$Y$177,1,Codificacion!$B$2:$B$177,"RGPD",Codificacion!$F$2:$F$177,"Aplicable_desde_2026-08*")</f>
        <v>0</v>
      </c>
      <c r="G31" s="17" t="n">
        <f aca="false">COUNTIFS(Codificacion!$Y$2:$Y$177,1,Codificacion!$B$2:$B$177,"AI Act",Codificacion!$F$2:$F$177,"Vigente")+COUNTIFS(Codificacion!$Y$2:$Y$177,1,Codificacion!$B$2:$B$177,"AI Act",Codificacion!$F$2:$F$177,"Aplicable_desde_2023*")+COUNTIFS(Codificacion!$Y$2:$Y$177,1,Codificacion!$B$2:$B$177,"AI Act",Codificacion!$F$2:$F$177,"Aplicable_desde_2026-07*")+COUNTIFS(Codificacion!$Y$2:$Y$177,1,Codificacion!$B$2:$B$177,"AI Act",Codificacion!$F$2:$F$177,"Aplicable_desde_2026-08*")</f>
        <v>0</v>
      </c>
      <c r="H31" s="17" t="n">
        <f aca="false">COUNTIFS(Codificacion!$Y$2:$Y$177,1,Codificacion!$B$2:$B$177,"DORA",Codificacion!$F$2:$F$177,"Vigente")+COUNTIFS(Codificacion!$Y$2:$Y$177,1,Codificacion!$B$2:$B$177,"DORA",Codificacion!$F$2:$F$177,"Aplicable_desde_2023*")+COUNTIFS(Codificacion!$Y$2:$Y$177,1,Codificacion!$B$2:$B$177,"DORA",Codificacion!$F$2:$F$177,"Aplicable_desde_2026-07*")+COUNTIFS(Codificacion!$Y$2:$Y$177,1,Codificacion!$B$2:$B$177,"DORA",Codificacion!$F$2:$F$177,"Aplicable_desde_2026-08*")</f>
        <v>0</v>
      </c>
      <c r="I31" s="17" t="n">
        <f aca="false">COUNTIFS(Codificacion!$Y$2:$Y$177,1,Codificacion!$B$2:$B$177,"eIDAS 2",Codificacion!$F$2:$F$177,"Vigente")+COUNTIFS(Codificacion!$Y$2:$Y$177,1,Codificacion!$B$2:$B$177,"eIDAS 2",Codificacion!$F$2:$F$177,"Aplicable_desde_2023*")+COUNTIFS(Codificacion!$Y$2:$Y$177,1,Codificacion!$B$2:$B$177,"eIDAS 2",Codificacion!$F$2:$F$177,"Aplicable_desde_2026-07*")+COUNTIFS(Codificacion!$Y$2:$Y$177,1,Codificacion!$B$2:$B$177,"eIDAS 2",Codificacion!$F$2:$F$177,"Aplicable_desde_2026-08*")</f>
        <v>0</v>
      </c>
      <c r="J31" s="17" t="n">
        <f aca="false">COUNTIFS(Codificacion!$Y$2:$Y$177,1,Codificacion!$B$2:$B$177,"Accesibilidad",Codificacion!$F$2:$F$177,"Vigente")+COUNTIFS(Codificacion!$Y$2:$Y$177,1,Codificacion!$B$2:$B$177,"Accesibilidad",Codificacion!$F$2:$F$177,"Aplicable_desde_2023*")+COUNTIFS(Codificacion!$Y$2:$Y$177,1,Codificacion!$B$2:$B$177,"Accesibilidad",Codificacion!$F$2:$F$177,"Aplicable_desde_2026-07*")+COUNTIFS(Codificacion!$Y$2:$Y$177,1,Codificacion!$B$2:$B$177,"Accesibilidad",Codificacion!$F$2:$F$177,"Aplicable_desde_2026-08*")</f>
        <v>0</v>
      </c>
      <c r="K31" s="17" t="n">
        <f aca="false">COUNTIFS(Codificacion!$Y$2:$Y$177,1,Codificacion!$B$2:$B$177,"Atención al cliente ES",Codificacion!$F$2:$F$177,"Vigente")+COUNTIFS(Codificacion!$Y$2:$Y$177,1,Codificacion!$B$2:$B$177,"Atención al cliente ES",Codificacion!$F$2:$F$177,"Aplicable_desde_2023*")+COUNTIFS(Codificacion!$Y$2:$Y$177,1,Codificacion!$B$2:$B$177,"Atención al cliente ES",Codificacion!$F$2:$F$177,"Aplicable_desde_2026-07*")+COUNTIFS(Codificacion!$Y$2:$Y$177,1,Codificacion!$B$2:$B$177,"Atención al cliente ES",Codificacion!$F$2:$F$177,"Aplicable_desde_2026-08*")</f>
        <v>0</v>
      </c>
      <c r="L31" s="24" t="n">
        <f aca="false">SUM(C31:K31)</f>
        <v>0</v>
      </c>
      <c r="M31" s="24" t="n">
        <f aca="false">COUNTIF(C31:K31,"&gt;0")</f>
        <v>0</v>
      </c>
    </row>
    <row r="32" customFormat="false" ht="15" hidden="false" customHeight="true" outlineLevel="0" collapsed="false">
      <c r="A32" s="8" t="s">
        <v>154</v>
      </c>
      <c r="B32" s="10" t="s">
        <v>155</v>
      </c>
      <c r="C32" s="17" t="n">
        <f aca="false">COUNTIFS(Codificacion!$Z$2:$Z$177,1,Codificacion!$B$2:$B$177,"Cuenta básica",Codificacion!$F$2:$F$177,"Vigente")+COUNTIFS(Codificacion!$Z$2:$Z$177,1,Codificacion!$B$2:$B$177,"Cuenta básica",Codificacion!$F$2:$F$177,"Aplicable_desde_2023*")+COUNTIFS(Codificacion!$Z$2:$Z$177,1,Codificacion!$B$2:$B$177,"Cuenta básica",Codificacion!$F$2:$F$177,"Aplicable_desde_2026-07*")+COUNTIFS(Codificacion!$Z$2:$Z$177,1,Codificacion!$B$2:$B$177,"Cuenta básica",Codificacion!$F$2:$F$177,"Aplicable_desde_2026-08*")</f>
        <v>1</v>
      </c>
      <c r="D32" s="17" t="n">
        <f aca="false">COUNTIFS(Codificacion!$Z$2:$Z$177,1,Codificacion!$B$2:$B$177,"AML",Codificacion!$F$2:$F$177,"Vigente")+COUNTIFS(Codificacion!$Z$2:$Z$177,1,Codificacion!$B$2:$B$177,"AML",Codificacion!$F$2:$F$177,"Aplicable_desde_2023*")+COUNTIFS(Codificacion!$Z$2:$Z$177,1,Codificacion!$B$2:$B$177,"AML",Codificacion!$F$2:$F$177,"Aplicable_desde_2026-07*")+COUNTIFS(Codificacion!$Z$2:$Z$177,1,Codificacion!$B$2:$B$177,"AML",Codificacion!$F$2:$F$177,"Aplicable_desde_2026-08*")</f>
        <v>2</v>
      </c>
      <c r="E32" s="17" t="n">
        <f aca="false">COUNTIFS(Codificacion!$Z$2:$Z$177,1,Codificacion!$B$2:$B$177,"Directrices EBA",Codificacion!$F$2:$F$177,"Vigente")+COUNTIFS(Codificacion!$Z$2:$Z$177,1,Codificacion!$B$2:$B$177,"Directrices EBA",Codificacion!$F$2:$F$177,"Aplicable_desde_2023*")+COUNTIFS(Codificacion!$Z$2:$Z$177,1,Codificacion!$B$2:$B$177,"Directrices EBA",Codificacion!$F$2:$F$177,"Aplicable_desde_2026-07*")+COUNTIFS(Codificacion!$Z$2:$Z$177,1,Codificacion!$B$2:$B$177,"Directrices EBA",Codificacion!$F$2:$F$177,"Aplicable_desde_2026-08*")</f>
        <v>0</v>
      </c>
      <c r="F32" s="17" t="n">
        <f aca="false">COUNTIFS(Codificacion!$Z$2:$Z$177,1,Codificacion!$B$2:$B$177,"RGPD",Codificacion!$F$2:$F$177,"Vigente")+COUNTIFS(Codificacion!$Z$2:$Z$177,1,Codificacion!$B$2:$B$177,"RGPD",Codificacion!$F$2:$F$177,"Aplicable_desde_2023*")+COUNTIFS(Codificacion!$Z$2:$Z$177,1,Codificacion!$B$2:$B$177,"RGPD",Codificacion!$F$2:$F$177,"Aplicable_desde_2026-07*")+COUNTIFS(Codificacion!$Z$2:$Z$177,1,Codificacion!$B$2:$B$177,"RGPD",Codificacion!$F$2:$F$177,"Aplicable_desde_2026-08*")</f>
        <v>0</v>
      </c>
      <c r="G32" s="17" t="n">
        <f aca="false">COUNTIFS(Codificacion!$Z$2:$Z$177,1,Codificacion!$B$2:$B$177,"AI Act",Codificacion!$F$2:$F$177,"Vigente")+COUNTIFS(Codificacion!$Z$2:$Z$177,1,Codificacion!$B$2:$B$177,"AI Act",Codificacion!$F$2:$F$177,"Aplicable_desde_2023*")+COUNTIFS(Codificacion!$Z$2:$Z$177,1,Codificacion!$B$2:$B$177,"AI Act",Codificacion!$F$2:$F$177,"Aplicable_desde_2026-07*")+COUNTIFS(Codificacion!$Z$2:$Z$177,1,Codificacion!$B$2:$B$177,"AI Act",Codificacion!$F$2:$F$177,"Aplicable_desde_2026-08*")</f>
        <v>0</v>
      </c>
      <c r="H32" s="17" t="n">
        <f aca="false">COUNTIFS(Codificacion!$Z$2:$Z$177,1,Codificacion!$B$2:$B$177,"DORA",Codificacion!$F$2:$F$177,"Vigente")+COUNTIFS(Codificacion!$Z$2:$Z$177,1,Codificacion!$B$2:$B$177,"DORA",Codificacion!$F$2:$F$177,"Aplicable_desde_2023*")+COUNTIFS(Codificacion!$Z$2:$Z$177,1,Codificacion!$B$2:$B$177,"DORA",Codificacion!$F$2:$F$177,"Aplicable_desde_2026-07*")+COUNTIFS(Codificacion!$Z$2:$Z$177,1,Codificacion!$B$2:$B$177,"DORA",Codificacion!$F$2:$F$177,"Aplicable_desde_2026-08*")</f>
        <v>0</v>
      </c>
      <c r="I32" s="17" t="n">
        <f aca="false">COUNTIFS(Codificacion!$Z$2:$Z$177,1,Codificacion!$B$2:$B$177,"eIDAS 2",Codificacion!$F$2:$F$177,"Vigente")+COUNTIFS(Codificacion!$Z$2:$Z$177,1,Codificacion!$B$2:$B$177,"eIDAS 2",Codificacion!$F$2:$F$177,"Aplicable_desde_2023*")+COUNTIFS(Codificacion!$Z$2:$Z$177,1,Codificacion!$B$2:$B$177,"eIDAS 2",Codificacion!$F$2:$F$177,"Aplicable_desde_2026-07*")+COUNTIFS(Codificacion!$Z$2:$Z$177,1,Codificacion!$B$2:$B$177,"eIDAS 2",Codificacion!$F$2:$F$177,"Aplicable_desde_2026-08*")</f>
        <v>0</v>
      </c>
      <c r="J32" s="17" t="n">
        <f aca="false">COUNTIFS(Codificacion!$Z$2:$Z$177,1,Codificacion!$B$2:$B$177,"Accesibilidad",Codificacion!$F$2:$F$177,"Vigente")+COUNTIFS(Codificacion!$Z$2:$Z$177,1,Codificacion!$B$2:$B$177,"Accesibilidad",Codificacion!$F$2:$F$177,"Aplicable_desde_2023*")+COUNTIFS(Codificacion!$Z$2:$Z$177,1,Codificacion!$B$2:$B$177,"Accesibilidad",Codificacion!$F$2:$F$177,"Aplicable_desde_2026-07*")+COUNTIFS(Codificacion!$Z$2:$Z$177,1,Codificacion!$B$2:$B$177,"Accesibilidad",Codificacion!$F$2:$F$177,"Aplicable_desde_2026-08*")</f>
        <v>0</v>
      </c>
      <c r="K32" s="17" t="n">
        <f aca="false">COUNTIFS(Codificacion!$Z$2:$Z$177,1,Codificacion!$B$2:$B$177,"Atención al cliente ES",Codificacion!$F$2:$F$177,"Vigente")+COUNTIFS(Codificacion!$Z$2:$Z$177,1,Codificacion!$B$2:$B$177,"Atención al cliente ES",Codificacion!$F$2:$F$177,"Aplicable_desde_2023*")+COUNTIFS(Codificacion!$Z$2:$Z$177,1,Codificacion!$B$2:$B$177,"Atención al cliente ES",Codificacion!$F$2:$F$177,"Aplicable_desde_2026-07*")+COUNTIFS(Codificacion!$Z$2:$Z$177,1,Codificacion!$B$2:$B$177,"Atención al cliente ES",Codificacion!$F$2:$F$177,"Aplicable_desde_2026-08*")</f>
        <v>0</v>
      </c>
      <c r="L32" s="24" t="n">
        <f aca="false">SUM(C32:K32)</f>
        <v>3</v>
      </c>
      <c r="M32" s="24" t="n">
        <f aca="false">COUNTIF(C32:K32,"&gt;0")</f>
        <v>2</v>
      </c>
    </row>
    <row r="33" customFormat="false" ht="15" hidden="false" customHeight="true" outlineLevel="0" collapsed="false">
      <c r="A33" s="8" t="s">
        <v>156</v>
      </c>
      <c r="B33" s="10" t="s">
        <v>157</v>
      </c>
      <c r="C33" s="17" t="n">
        <f aca="false">COUNTIFS(Codificacion!$AA$2:$AA$177,1,Codificacion!$B$2:$B$177,"Cuenta básica",Codificacion!$F$2:$F$177,"Vigente")+COUNTIFS(Codificacion!$AA$2:$AA$177,1,Codificacion!$B$2:$B$177,"Cuenta básica",Codificacion!$F$2:$F$177,"Aplicable_desde_2023*")+COUNTIFS(Codificacion!$AA$2:$AA$177,1,Codificacion!$B$2:$B$177,"Cuenta básica",Codificacion!$F$2:$F$177,"Aplicable_desde_2026-07*")+COUNTIFS(Codificacion!$AA$2:$AA$177,1,Codificacion!$B$2:$B$177,"Cuenta básica",Codificacion!$F$2:$F$177,"Aplicable_desde_2026-08*")</f>
        <v>16</v>
      </c>
      <c r="D33" s="17" t="n">
        <f aca="false">COUNTIFS(Codificacion!$AA$2:$AA$177,1,Codificacion!$B$2:$B$177,"AML",Codificacion!$F$2:$F$177,"Vigente")+COUNTIFS(Codificacion!$AA$2:$AA$177,1,Codificacion!$B$2:$B$177,"AML",Codificacion!$F$2:$F$177,"Aplicable_desde_2023*")+COUNTIFS(Codificacion!$AA$2:$AA$177,1,Codificacion!$B$2:$B$177,"AML",Codificacion!$F$2:$F$177,"Aplicable_desde_2026-07*")+COUNTIFS(Codificacion!$AA$2:$AA$177,1,Codificacion!$B$2:$B$177,"AML",Codificacion!$F$2:$F$177,"Aplicable_desde_2026-08*")</f>
        <v>3</v>
      </c>
      <c r="E33" s="17" t="n">
        <f aca="false">COUNTIFS(Codificacion!$AA$2:$AA$177,1,Codificacion!$B$2:$B$177,"Directrices EBA",Codificacion!$F$2:$F$177,"Vigente")+COUNTIFS(Codificacion!$AA$2:$AA$177,1,Codificacion!$B$2:$B$177,"Directrices EBA",Codificacion!$F$2:$F$177,"Aplicable_desde_2023*")+COUNTIFS(Codificacion!$AA$2:$AA$177,1,Codificacion!$B$2:$B$177,"Directrices EBA",Codificacion!$F$2:$F$177,"Aplicable_desde_2026-07*")+COUNTIFS(Codificacion!$AA$2:$AA$177,1,Codificacion!$B$2:$B$177,"Directrices EBA",Codificacion!$F$2:$F$177,"Aplicable_desde_2026-08*")</f>
        <v>7</v>
      </c>
      <c r="F33" s="17" t="n">
        <f aca="false">COUNTIFS(Codificacion!$AA$2:$AA$177,1,Codificacion!$B$2:$B$177,"RGPD",Codificacion!$F$2:$F$177,"Vigente")+COUNTIFS(Codificacion!$AA$2:$AA$177,1,Codificacion!$B$2:$B$177,"RGPD",Codificacion!$F$2:$F$177,"Aplicable_desde_2023*")+COUNTIFS(Codificacion!$AA$2:$AA$177,1,Codificacion!$B$2:$B$177,"RGPD",Codificacion!$F$2:$F$177,"Aplicable_desde_2026-07*")+COUNTIFS(Codificacion!$AA$2:$AA$177,1,Codificacion!$B$2:$B$177,"RGPD",Codificacion!$F$2:$F$177,"Aplicable_desde_2026-08*")</f>
        <v>2</v>
      </c>
      <c r="G33" s="17" t="n">
        <f aca="false">COUNTIFS(Codificacion!$AA$2:$AA$177,1,Codificacion!$B$2:$B$177,"AI Act",Codificacion!$F$2:$F$177,"Vigente")+COUNTIFS(Codificacion!$AA$2:$AA$177,1,Codificacion!$B$2:$B$177,"AI Act",Codificacion!$F$2:$F$177,"Aplicable_desde_2023*")+COUNTIFS(Codificacion!$AA$2:$AA$177,1,Codificacion!$B$2:$B$177,"AI Act",Codificacion!$F$2:$F$177,"Aplicable_desde_2026-07*")+COUNTIFS(Codificacion!$AA$2:$AA$177,1,Codificacion!$B$2:$B$177,"AI Act",Codificacion!$F$2:$F$177,"Aplicable_desde_2026-08*")</f>
        <v>1</v>
      </c>
      <c r="H33" s="17" t="n">
        <f aca="false">COUNTIFS(Codificacion!$AA$2:$AA$177,1,Codificacion!$B$2:$B$177,"DORA",Codificacion!$F$2:$F$177,"Vigente")+COUNTIFS(Codificacion!$AA$2:$AA$177,1,Codificacion!$B$2:$B$177,"DORA",Codificacion!$F$2:$F$177,"Aplicable_desde_2023*")+COUNTIFS(Codificacion!$AA$2:$AA$177,1,Codificacion!$B$2:$B$177,"DORA",Codificacion!$F$2:$F$177,"Aplicable_desde_2026-07*")+COUNTIFS(Codificacion!$AA$2:$AA$177,1,Codificacion!$B$2:$B$177,"DORA",Codificacion!$F$2:$F$177,"Aplicable_desde_2026-08*")</f>
        <v>0</v>
      </c>
      <c r="I33" s="17" t="n">
        <f aca="false">COUNTIFS(Codificacion!$AA$2:$AA$177,1,Codificacion!$B$2:$B$177,"eIDAS 2",Codificacion!$F$2:$F$177,"Vigente")+COUNTIFS(Codificacion!$AA$2:$AA$177,1,Codificacion!$B$2:$B$177,"eIDAS 2",Codificacion!$F$2:$F$177,"Aplicable_desde_2023*")+COUNTIFS(Codificacion!$AA$2:$AA$177,1,Codificacion!$B$2:$B$177,"eIDAS 2",Codificacion!$F$2:$F$177,"Aplicable_desde_2026-07*")+COUNTIFS(Codificacion!$AA$2:$AA$177,1,Codificacion!$B$2:$B$177,"eIDAS 2",Codificacion!$F$2:$F$177,"Aplicable_desde_2026-08*")</f>
        <v>0</v>
      </c>
      <c r="J33" s="17" t="n">
        <f aca="false">COUNTIFS(Codificacion!$AA$2:$AA$177,1,Codificacion!$B$2:$B$177,"Accesibilidad",Codificacion!$F$2:$F$177,"Vigente")+COUNTIFS(Codificacion!$AA$2:$AA$177,1,Codificacion!$B$2:$B$177,"Accesibilidad",Codificacion!$F$2:$F$177,"Aplicable_desde_2023*")+COUNTIFS(Codificacion!$AA$2:$AA$177,1,Codificacion!$B$2:$B$177,"Accesibilidad",Codificacion!$F$2:$F$177,"Aplicable_desde_2026-07*")+COUNTIFS(Codificacion!$AA$2:$AA$177,1,Codificacion!$B$2:$B$177,"Accesibilidad",Codificacion!$F$2:$F$177,"Aplicable_desde_2026-08*")</f>
        <v>0</v>
      </c>
      <c r="K33" s="17" t="n">
        <f aca="false">COUNTIFS(Codificacion!$AA$2:$AA$177,1,Codificacion!$B$2:$B$177,"Atención al cliente ES",Codificacion!$F$2:$F$177,"Vigente")+COUNTIFS(Codificacion!$AA$2:$AA$177,1,Codificacion!$B$2:$B$177,"Atención al cliente ES",Codificacion!$F$2:$F$177,"Aplicable_desde_2023*")+COUNTIFS(Codificacion!$AA$2:$AA$177,1,Codificacion!$B$2:$B$177,"Atención al cliente ES",Codificacion!$F$2:$F$177,"Aplicable_desde_2026-07*")+COUNTIFS(Codificacion!$AA$2:$AA$177,1,Codificacion!$B$2:$B$177,"Atención al cliente ES",Codificacion!$F$2:$F$177,"Aplicable_desde_2026-08*")</f>
        <v>2</v>
      </c>
      <c r="L33" s="24" t="n">
        <f aca="false">SUM(C33:K33)</f>
        <v>31</v>
      </c>
      <c r="M33" s="24" t="n">
        <f aca="false">COUNTIF(C33:K33,"&gt;0")</f>
        <v>6</v>
      </c>
    </row>
    <row r="34" customFormat="false" ht="15" hidden="false" customHeight="true" outlineLevel="0" collapsed="false">
      <c r="A34" s="8" t="s">
        <v>158</v>
      </c>
      <c r="B34" s="10" t="s">
        <v>159</v>
      </c>
      <c r="C34" s="17" t="n">
        <f aca="false">COUNTIFS(Codificacion!$AB$2:$AB$177,1,Codificacion!$B$2:$B$177,"Cuenta básica",Codificacion!$F$2:$F$177,"Vigente")+COUNTIFS(Codificacion!$AB$2:$AB$177,1,Codificacion!$B$2:$B$177,"Cuenta básica",Codificacion!$F$2:$F$177,"Aplicable_desde_2023*")+COUNTIFS(Codificacion!$AB$2:$AB$177,1,Codificacion!$B$2:$B$177,"Cuenta básica",Codificacion!$F$2:$F$177,"Aplicable_desde_2026-07*")+COUNTIFS(Codificacion!$AB$2:$AB$177,1,Codificacion!$B$2:$B$177,"Cuenta básica",Codificacion!$F$2:$F$177,"Aplicable_desde_2026-08*")</f>
        <v>6</v>
      </c>
      <c r="D34" s="17" t="n">
        <f aca="false">COUNTIFS(Codificacion!$AB$2:$AB$177,1,Codificacion!$B$2:$B$177,"AML",Codificacion!$F$2:$F$177,"Vigente")+COUNTIFS(Codificacion!$AB$2:$AB$177,1,Codificacion!$B$2:$B$177,"AML",Codificacion!$F$2:$F$177,"Aplicable_desde_2023*")+COUNTIFS(Codificacion!$AB$2:$AB$177,1,Codificacion!$B$2:$B$177,"AML",Codificacion!$F$2:$F$177,"Aplicable_desde_2026-07*")+COUNTIFS(Codificacion!$AB$2:$AB$177,1,Codificacion!$B$2:$B$177,"AML",Codificacion!$F$2:$F$177,"Aplicable_desde_2026-08*")</f>
        <v>3</v>
      </c>
      <c r="E34" s="17" t="n">
        <f aca="false">COUNTIFS(Codificacion!$AB$2:$AB$177,1,Codificacion!$B$2:$B$177,"Directrices EBA",Codificacion!$F$2:$F$177,"Vigente")+COUNTIFS(Codificacion!$AB$2:$AB$177,1,Codificacion!$B$2:$B$177,"Directrices EBA",Codificacion!$F$2:$F$177,"Aplicable_desde_2023*")+COUNTIFS(Codificacion!$AB$2:$AB$177,1,Codificacion!$B$2:$B$177,"Directrices EBA",Codificacion!$F$2:$F$177,"Aplicable_desde_2026-07*")+COUNTIFS(Codificacion!$AB$2:$AB$177,1,Codificacion!$B$2:$B$177,"Directrices EBA",Codificacion!$F$2:$F$177,"Aplicable_desde_2026-08*")</f>
        <v>6</v>
      </c>
      <c r="F34" s="17" t="n">
        <f aca="false">COUNTIFS(Codificacion!$AB$2:$AB$177,1,Codificacion!$B$2:$B$177,"RGPD",Codificacion!$F$2:$F$177,"Vigente")+COUNTIFS(Codificacion!$AB$2:$AB$177,1,Codificacion!$B$2:$B$177,"RGPD",Codificacion!$F$2:$F$177,"Aplicable_desde_2023*")+COUNTIFS(Codificacion!$AB$2:$AB$177,1,Codificacion!$B$2:$B$177,"RGPD",Codificacion!$F$2:$F$177,"Aplicable_desde_2026-07*")+COUNTIFS(Codificacion!$AB$2:$AB$177,1,Codificacion!$B$2:$B$177,"RGPD",Codificacion!$F$2:$F$177,"Aplicable_desde_2026-08*")</f>
        <v>0</v>
      </c>
      <c r="G34" s="17" t="n">
        <f aca="false">COUNTIFS(Codificacion!$AB$2:$AB$177,1,Codificacion!$B$2:$B$177,"AI Act",Codificacion!$F$2:$F$177,"Vigente")+COUNTIFS(Codificacion!$AB$2:$AB$177,1,Codificacion!$B$2:$B$177,"AI Act",Codificacion!$F$2:$F$177,"Aplicable_desde_2023*")+COUNTIFS(Codificacion!$AB$2:$AB$177,1,Codificacion!$B$2:$B$177,"AI Act",Codificacion!$F$2:$F$177,"Aplicable_desde_2026-07*")+COUNTIFS(Codificacion!$AB$2:$AB$177,1,Codificacion!$B$2:$B$177,"AI Act",Codificacion!$F$2:$F$177,"Aplicable_desde_2026-08*")</f>
        <v>0</v>
      </c>
      <c r="H34" s="17" t="n">
        <f aca="false">COUNTIFS(Codificacion!$AB$2:$AB$177,1,Codificacion!$B$2:$B$177,"DORA",Codificacion!$F$2:$F$177,"Vigente")+COUNTIFS(Codificacion!$AB$2:$AB$177,1,Codificacion!$B$2:$B$177,"DORA",Codificacion!$F$2:$F$177,"Aplicable_desde_2023*")+COUNTIFS(Codificacion!$AB$2:$AB$177,1,Codificacion!$B$2:$B$177,"DORA",Codificacion!$F$2:$F$177,"Aplicable_desde_2026-07*")+COUNTIFS(Codificacion!$AB$2:$AB$177,1,Codificacion!$B$2:$B$177,"DORA",Codificacion!$F$2:$F$177,"Aplicable_desde_2026-08*")</f>
        <v>0</v>
      </c>
      <c r="I34" s="17" t="n">
        <f aca="false">COUNTIFS(Codificacion!$AB$2:$AB$177,1,Codificacion!$B$2:$B$177,"eIDAS 2",Codificacion!$F$2:$F$177,"Vigente")+COUNTIFS(Codificacion!$AB$2:$AB$177,1,Codificacion!$B$2:$B$177,"eIDAS 2",Codificacion!$F$2:$F$177,"Aplicable_desde_2023*")+COUNTIFS(Codificacion!$AB$2:$AB$177,1,Codificacion!$B$2:$B$177,"eIDAS 2",Codificacion!$F$2:$F$177,"Aplicable_desde_2026-07*")+COUNTIFS(Codificacion!$AB$2:$AB$177,1,Codificacion!$B$2:$B$177,"eIDAS 2",Codificacion!$F$2:$F$177,"Aplicable_desde_2026-08*")</f>
        <v>0</v>
      </c>
      <c r="J34" s="17" t="n">
        <f aca="false">COUNTIFS(Codificacion!$AB$2:$AB$177,1,Codificacion!$B$2:$B$177,"Accesibilidad",Codificacion!$F$2:$F$177,"Vigente")+COUNTIFS(Codificacion!$AB$2:$AB$177,1,Codificacion!$B$2:$B$177,"Accesibilidad",Codificacion!$F$2:$F$177,"Aplicable_desde_2023*")+COUNTIFS(Codificacion!$AB$2:$AB$177,1,Codificacion!$B$2:$B$177,"Accesibilidad",Codificacion!$F$2:$F$177,"Aplicable_desde_2026-07*")+COUNTIFS(Codificacion!$AB$2:$AB$177,1,Codificacion!$B$2:$B$177,"Accesibilidad",Codificacion!$F$2:$F$177,"Aplicable_desde_2026-08*")</f>
        <v>0</v>
      </c>
      <c r="K34" s="17" t="n">
        <f aca="false">COUNTIFS(Codificacion!$AB$2:$AB$177,1,Codificacion!$B$2:$B$177,"Atención al cliente ES",Codificacion!$F$2:$F$177,"Vigente")+COUNTIFS(Codificacion!$AB$2:$AB$177,1,Codificacion!$B$2:$B$177,"Atención al cliente ES",Codificacion!$F$2:$F$177,"Aplicable_desde_2023*")+COUNTIFS(Codificacion!$AB$2:$AB$177,1,Codificacion!$B$2:$B$177,"Atención al cliente ES",Codificacion!$F$2:$F$177,"Aplicable_desde_2026-07*")+COUNTIFS(Codificacion!$AB$2:$AB$177,1,Codificacion!$B$2:$B$177,"Atención al cliente ES",Codificacion!$F$2:$F$177,"Aplicable_desde_2026-08*")</f>
        <v>2</v>
      </c>
      <c r="L34" s="24" t="n">
        <f aca="false">SUM(C34:K34)</f>
        <v>17</v>
      </c>
      <c r="M34" s="24" t="n">
        <f aca="false">COUNTIF(C34:K34,"&gt;0")</f>
        <v>4</v>
      </c>
    </row>
    <row r="35" customFormat="false" ht="15" hidden="false" customHeight="true" outlineLevel="0" collapsed="false">
      <c r="A35" s="8" t="s">
        <v>161</v>
      </c>
      <c r="B35" s="10" t="s">
        <v>162</v>
      </c>
      <c r="C35" s="17" t="n">
        <f aca="false">COUNTIFS(Codificacion!$AC$2:$AC$177,1,Codificacion!$B$2:$B$177,"Cuenta básica",Codificacion!$F$2:$F$177,"Vigente")+COUNTIFS(Codificacion!$AC$2:$AC$177,1,Codificacion!$B$2:$B$177,"Cuenta básica",Codificacion!$F$2:$F$177,"Aplicable_desde_2023*")+COUNTIFS(Codificacion!$AC$2:$AC$177,1,Codificacion!$B$2:$B$177,"Cuenta básica",Codificacion!$F$2:$F$177,"Aplicable_desde_2026-07*")+COUNTIFS(Codificacion!$AC$2:$AC$177,1,Codificacion!$B$2:$B$177,"Cuenta básica",Codificacion!$F$2:$F$177,"Aplicable_desde_2026-08*")</f>
        <v>6</v>
      </c>
      <c r="D35" s="17" t="n">
        <f aca="false">COUNTIFS(Codificacion!$AC$2:$AC$177,1,Codificacion!$B$2:$B$177,"AML",Codificacion!$F$2:$F$177,"Vigente")+COUNTIFS(Codificacion!$AC$2:$AC$177,1,Codificacion!$B$2:$B$177,"AML",Codificacion!$F$2:$F$177,"Aplicable_desde_2023*")+COUNTIFS(Codificacion!$AC$2:$AC$177,1,Codificacion!$B$2:$B$177,"AML",Codificacion!$F$2:$F$177,"Aplicable_desde_2026-07*")+COUNTIFS(Codificacion!$AC$2:$AC$177,1,Codificacion!$B$2:$B$177,"AML",Codificacion!$F$2:$F$177,"Aplicable_desde_2026-08*")</f>
        <v>5</v>
      </c>
      <c r="E35" s="17" t="n">
        <f aca="false">COUNTIFS(Codificacion!$AC$2:$AC$177,1,Codificacion!$B$2:$B$177,"Directrices EBA",Codificacion!$F$2:$F$177,"Vigente")+COUNTIFS(Codificacion!$AC$2:$AC$177,1,Codificacion!$B$2:$B$177,"Directrices EBA",Codificacion!$F$2:$F$177,"Aplicable_desde_2023*")+COUNTIFS(Codificacion!$AC$2:$AC$177,1,Codificacion!$B$2:$B$177,"Directrices EBA",Codificacion!$F$2:$F$177,"Aplicable_desde_2026-07*")+COUNTIFS(Codificacion!$AC$2:$AC$177,1,Codificacion!$B$2:$B$177,"Directrices EBA",Codificacion!$F$2:$F$177,"Aplicable_desde_2026-08*")</f>
        <v>11</v>
      </c>
      <c r="F35" s="17" t="n">
        <f aca="false">COUNTIFS(Codificacion!$AC$2:$AC$177,1,Codificacion!$B$2:$B$177,"RGPD",Codificacion!$F$2:$F$177,"Vigente")+COUNTIFS(Codificacion!$AC$2:$AC$177,1,Codificacion!$B$2:$B$177,"RGPD",Codificacion!$F$2:$F$177,"Aplicable_desde_2023*")+COUNTIFS(Codificacion!$AC$2:$AC$177,1,Codificacion!$B$2:$B$177,"RGPD",Codificacion!$F$2:$F$177,"Aplicable_desde_2026-07*")+COUNTIFS(Codificacion!$AC$2:$AC$177,1,Codificacion!$B$2:$B$177,"RGPD",Codificacion!$F$2:$F$177,"Aplicable_desde_2026-08*")</f>
        <v>9</v>
      </c>
      <c r="G35" s="17" t="n">
        <f aca="false">COUNTIFS(Codificacion!$AC$2:$AC$177,1,Codificacion!$B$2:$B$177,"AI Act",Codificacion!$F$2:$F$177,"Vigente")+COUNTIFS(Codificacion!$AC$2:$AC$177,1,Codificacion!$B$2:$B$177,"AI Act",Codificacion!$F$2:$F$177,"Aplicable_desde_2023*")+COUNTIFS(Codificacion!$AC$2:$AC$177,1,Codificacion!$B$2:$B$177,"AI Act",Codificacion!$F$2:$F$177,"Aplicable_desde_2026-07*")+COUNTIFS(Codificacion!$AC$2:$AC$177,1,Codificacion!$B$2:$B$177,"AI Act",Codificacion!$F$2:$F$177,"Aplicable_desde_2026-08*")</f>
        <v>2</v>
      </c>
      <c r="H35" s="17" t="n">
        <f aca="false">COUNTIFS(Codificacion!$AC$2:$AC$177,1,Codificacion!$B$2:$B$177,"DORA",Codificacion!$F$2:$F$177,"Vigente")+COUNTIFS(Codificacion!$AC$2:$AC$177,1,Codificacion!$B$2:$B$177,"DORA",Codificacion!$F$2:$F$177,"Aplicable_desde_2023*")+COUNTIFS(Codificacion!$AC$2:$AC$177,1,Codificacion!$B$2:$B$177,"DORA",Codificacion!$F$2:$F$177,"Aplicable_desde_2026-07*")+COUNTIFS(Codificacion!$AC$2:$AC$177,1,Codificacion!$B$2:$B$177,"DORA",Codificacion!$F$2:$F$177,"Aplicable_desde_2026-08*")</f>
        <v>2</v>
      </c>
      <c r="I35" s="17" t="n">
        <f aca="false">COUNTIFS(Codificacion!$AC$2:$AC$177,1,Codificacion!$B$2:$B$177,"eIDAS 2",Codificacion!$F$2:$F$177,"Vigente")+COUNTIFS(Codificacion!$AC$2:$AC$177,1,Codificacion!$B$2:$B$177,"eIDAS 2",Codificacion!$F$2:$F$177,"Aplicable_desde_2023*")+COUNTIFS(Codificacion!$AC$2:$AC$177,1,Codificacion!$B$2:$B$177,"eIDAS 2",Codificacion!$F$2:$F$177,"Aplicable_desde_2026-07*")+COUNTIFS(Codificacion!$AC$2:$AC$177,1,Codificacion!$B$2:$B$177,"eIDAS 2",Codificacion!$F$2:$F$177,"Aplicable_desde_2026-08*")</f>
        <v>1</v>
      </c>
      <c r="J35" s="17" t="n">
        <f aca="false">COUNTIFS(Codificacion!$AC$2:$AC$177,1,Codificacion!$B$2:$B$177,"Accesibilidad",Codificacion!$F$2:$F$177,"Vigente")+COUNTIFS(Codificacion!$AC$2:$AC$177,1,Codificacion!$B$2:$B$177,"Accesibilidad",Codificacion!$F$2:$F$177,"Aplicable_desde_2023*")+COUNTIFS(Codificacion!$AC$2:$AC$177,1,Codificacion!$B$2:$B$177,"Accesibilidad",Codificacion!$F$2:$F$177,"Aplicable_desde_2026-07*")+COUNTIFS(Codificacion!$AC$2:$AC$177,1,Codificacion!$B$2:$B$177,"Accesibilidad",Codificacion!$F$2:$F$177,"Aplicable_desde_2026-08*")</f>
        <v>14</v>
      </c>
      <c r="K35" s="17" t="n">
        <f aca="false">COUNTIFS(Codificacion!$AC$2:$AC$177,1,Codificacion!$B$2:$B$177,"Atención al cliente ES",Codificacion!$F$2:$F$177,"Vigente")+COUNTIFS(Codificacion!$AC$2:$AC$177,1,Codificacion!$B$2:$B$177,"Atención al cliente ES",Codificacion!$F$2:$F$177,"Aplicable_desde_2023*")+COUNTIFS(Codificacion!$AC$2:$AC$177,1,Codificacion!$B$2:$B$177,"Atención al cliente ES",Codificacion!$F$2:$F$177,"Aplicable_desde_2026-07*")+COUNTIFS(Codificacion!$AC$2:$AC$177,1,Codificacion!$B$2:$B$177,"Atención al cliente ES",Codificacion!$F$2:$F$177,"Aplicable_desde_2026-08*")</f>
        <v>1</v>
      </c>
      <c r="L35" s="24" t="n">
        <f aca="false">SUM(C35:K35)</f>
        <v>51</v>
      </c>
      <c r="M35" s="24" t="n">
        <f aca="false">COUNTIF(C35:K35,"&gt;0")</f>
        <v>9</v>
      </c>
    </row>
    <row r="36" customFormat="false" ht="15" hidden="false" customHeight="true" outlineLevel="0" collapsed="false">
      <c r="A36" s="20" t="s">
        <v>1051</v>
      </c>
    </row>
  </sheetData>
  <conditionalFormatting sqref="C5:K15">
    <cfRule type="cellIs" priority="2" operator="equal" aboveAverage="0" equalAverage="0" bottom="0" percent="0" rank="0" text="" dxfId="3">
      <formula>0</formula>
    </cfRule>
    <cfRule type="colorScale" priority="3">
      <colorScale>
        <cfvo type="num" val="1"/>
        <cfvo type="max" val="0"/>
        <color rgb="FFF2F2F2"/>
        <color rgb="FFA6A6A6"/>
      </colorScale>
    </cfRule>
  </conditionalFormatting>
  <conditionalFormatting sqref="C25:K35">
    <cfRule type="cellIs" priority="4" operator="equal" aboveAverage="0" equalAverage="0" bottom="0" percent="0" rank="0" text="" dxfId="3">
      <formula>0</formula>
    </cfRule>
    <cfRule type="colorScale" priority="5">
      <colorScale>
        <cfvo type="num" val="1"/>
        <cfvo type="max" val="0"/>
        <color rgb="FFF2F2F2"/>
        <color rgb="FFA6A6A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4"/>
    <col collapsed="false" customWidth="true" hidden="false" outlineLevel="0" max="12" min="3" style="1" width="12"/>
  </cols>
  <sheetData>
    <row r="1" customFormat="false" ht="17.25" hidden="false" customHeight="true" outlineLevel="0" collapsed="false">
      <c r="A1" s="18" t="s">
        <v>1052</v>
      </c>
    </row>
    <row r="2" customFormat="false" ht="48" hidden="false" customHeight="true" outlineLevel="0" collapsed="false">
      <c r="A2" s="25" t="s">
        <v>1053</v>
      </c>
      <c r="B2" s="25"/>
      <c r="C2" s="25"/>
      <c r="D2" s="25"/>
      <c r="E2" s="25"/>
      <c r="F2" s="25"/>
      <c r="G2" s="25"/>
      <c r="H2" s="25"/>
      <c r="I2" s="25"/>
      <c r="J2" s="25"/>
      <c r="K2" s="25"/>
      <c r="L2" s="25"/>
    </row>
    <row r="4" customFormat="false" ht="15" hidden="false" customHeight="true" outlineLevel="0" collapsed="false">
      <c r="A4" s="8" t="s">
        <v>1054</v>
      </c>
    </row>
    <row r="5" customFormat="false" ht="31.5" hidden="false" customHeight="true" outlineLevel="0" collapsed="false">
      <c r="A5" s="23" t="s">
        <v>136</v>
      </c>
      <c r="B5" s="23" t="s">
        <v>1055</v>
      </c>
      <c r="C5" s="23" t="s">
        <v>194</v>
      </c>
      <c r="D5" s="23" t="s">
        <v>389</v>
      </c>
      <c r="E5" s="23" t="s">
        <v>530</v>
      </c>
      <c r="F5" s="23" t="s">
        <v>758</v>
      </c>
      <c r="G5" s="23" t="s">
        <v>816</v>
      </c>
      <c r="H5" s="23" t="s">
        <v>896</v>
      </c>
      <c r="I5" s="23" t="s">
        <v>939</v>
      </c>
      <c r="J5" s="23" t="s">
        <v>952</v>
      </c>
      <c r="K5" s="23" t="s">
        <v>315</v>
      </c>
      <c r="L5" s="23" t="s">
        <v>1032</v>
      </c>
      <c r="M5" s="23" t="s">
        <v>1056</v>
      </c>
    </row>
    <row r="6" customFormat="false" ht="15" hidden="false" customHeight="true" outlineLevel="0" collapsed="false">
      <c r="A6" s="8" t="s">
        <v>182</v>
      </c>
      <c r="B6" s="10" t="s">
        <v>140</v>
      </c>
      <c r="C6" s="17" t="n">
        <f aca="false">COUNTIFS(Codificacion!$AE$2:$AE$177,1,Codificacion!$B$2:$B$177,"Cuenta básica",Codificacion!$F$2:$F$177,"Vigente")+COUNTIFS(Codificacion!$AE$2:$AE$177,1,Codificacion!$B$2:$B$177,"Cuenta básica",Codificacion!$F$2:$F$177,"Aplicable_desde_2023*")+COUNTIFS(Codificacion!$AE$2:$AE$177,1,Codificacion!$B$2:$B$177,"Cuenta básica",Codificacion!$F$2:$F$177,"Aplicable_desde_2026-07*")+COUNTIFS(Codificacion!$AE$2:$AE$177,1,Codificacion!$B$2:$B$177,"Cuenta básica",Codificacion!$F$2:$F$177,"Aplicable_desde_2026-08*")</f>
        <v>2</v>
      </c>
      <c r="D6" s="17" t="n">
        <f aca="false">COUNTIFS(Codificacion!$AE$2:$AE$177,1,Codificacion!$B$2:$B$177,"AML",Codificacion!$F$2:$F$177,"Vigente")+COUNTIFS(Codificacion!$AE$2:$AE$177,1,Codificacion!$B$2:$B$177,"AML",Codificacion!$F$2:$F$177,"Aplicable_desde_2023*")+COUNTIFS(Codificacion!$AE$2:$AE$177,1,Codificacion!$B$2:$B$177,"AML",Codificacion!$F$2:$F$177,"Aplicable_desde_2026-07*")+COUNTIFS(Codificacion!$AE$2:$AE$177,1,Codificacion!$B$2:$B$177,"AML",Codificacion!$F$2:$F$177,"Aplicable_desde_2026-08*")</f>
        <v>1</v>
      </c>
      <c r="E6" s="17" t="n">
        <f aca="false">COUNTIFS(Codificacion!$AE$2:$AE$177,1,Codificacion!$B$2:$B$177,"Directrices EBA",Codificacion!$F$2:$F$177,"Vigente")+COUNTIFS(Codificacion!$AE$2:$AE$177,1,Codificacion!$B$2:$B$177,"Directrices EBA",Codificacion!$F$2:$F$177,"Aplicable_desde_2023*")+COUNTIFS(Codificacion!$AE$2:$AE$177,1,Codificacion!$B$2:$B$177,"Directrices EBA",Codificacion!$F$2:$F$177,"Aplicable_desde_2026-07*")+COUNTIFS(Codificacion!$AE$2:$AE$177,1,Codificacion!$B$2:$B$177,"Directrices EBA",Codificacion!$F$2:$F$177,"Aplicable_desde_2026-08*")</f>
        <v>3</v>
      </c>
      <c r="F6" s="17" t="n">
        <f aca="false">COUNTIFS(Codificacion!$AE$2:$AE$177,1,Codificacion!$B$2:$B$177,"RGPD",Codificacion!$F$2:$F$177,"Vigente")+COUNTIFS(Codificacion!$AE$2:$AE$177,1,Codificacion!$B$2:$B$177,"RGPD",Codificacion!$F$2:$F$177,"Aplicable_desde_2023*")+COUNTIFS(Codificacion!$AE$2:$AE$177,1,Codificacion!$B$2:$B$177,"RGPD",Codificacion!$F$2:$F$177,"Aplicable_desde_2026-07*")+COUNTIFS(Codificacion!$AE$2:$AE$177,1,Codificacion!$B$2:$B$177,"RGPD",Codificacion!$F$2:$F$177,"Aplicable_desde_2026-08*")</f>
        <v>3</v>
      </c>
      <c r="G6" s="17" t="n">
        <f aca="false">COUNTIFS(Codificacion!$AE$2:$AE$177,1,Codificacion!$B$2:$B$177,"AI Act",Codificacion!$F$2:$F$177,"Vigente")+COUNTIFS(Codificacion!$AE$2:$AE$177,1,Codificacion!$B$2:$B$177,"AI Act",Codificacion!$F$2:$F$177,"Aplicable_desde_2023*")+COUNTIFS(Codificacion!$AE$2:$AE$177,1,Codificacion!$B$2:$B$177,"AI Act",Codificacion!$F$2:$F$177,"Aplicable_desde_2026-07*")+COUNTIFS(Codificacion!$AE$2:$AE$177,1,Codificacion!$B$2:$B$177,"AI Act",Codificacion!$F$2:$F$177,"Aplicable_desde_2026-08*")</f>
        <v>0</v>
      </c>
      <c r="H6" s="17" t="n">
        <f aca="false">COUNTIFS(Codificacion!$AE$2:$AE$177,1,Codificacion!$B$2:$B$177,"DORA",Codificacion!$F$2:$F$177,"Vigente")+COUNTIFS(Codificacion!$AE$2:$AE$177,1,Codificacion!$B$2:$B$177,"DORA",Codificacion!$F$2:$F$177,"Aplicable_desde_2023*")+COUNTIFS(Codificacion!$AE$2:$AE$177,1,Codificacion!$B$2:$B$177,"DORA",Codificacion!$F$2:$F$177,"Aplicable_desde_2026-07*")+COUNTIFS(Codificacion!$AE$2:$AE$177,1,Codificacion!$B$2:$B$177,"DORA",Codificacion!$F$2:$F$177,"Aplicable_desde_2026-08*")</f>
        <v>0</v>
      </c>
      <c r="I6" s="17" t="n">
        <f aca="false">COUNTIFS(Codificacion!$AE$2:$AE$177,1,Codificacion!$B$2:$B$177,"eIDAS 2",Codificacion!$F$2:$F$177,"Vigente")+COUNTIFS(Codificacion!$AE$2:$AE$177,1,Codificacion!$B$2:$B$177,"eIDAS 2",Codificacion!$F$2:$F$177,"Aplicable_desde_2023*")+COUNTIFS(Codificacion!$AE$2:$AE$177,1,Codificacion!$B$2:$B$177,"eIDAS 2",Codificacion!$F$2:$F$177,"Aplicable_desde_2026-07*")+COUNTIFS(Codificacion!$AE$2:$AE$177,1,Codificacion!$B$2:$B$177,"eIDAS 2",Codificacion!$F$2:$F$177,"Aplicable_desde_2026-08*")</f>
        <v>0</v>
      </c>
      <c r="J6" s="17" t="n">
        <f aca="false">COUNTIFS(Codificacion!$AE$2:$AE$177,1,Codificacion!$B$2:$B$177,"Accesibilidad",Codificacion!$F$2:$F$177,"Vigente")+COUNTIFS(Codificacion!$AE$2:$AE$177,1,Codificacion!$B$2:$B$177,"Accesibilidad",Codificacion!$F$2:$F$177,"Aplicable_desde_2023*")+COUNTIFS(Codificacion!$AE$2:$AE$177,1,Codificacion!$B$2:$B$177,"Accesibilidad",Codificacion!$F$2:$F$177,"Aplicable_desde_2026-07*")+COUNTIFS(Codificacion!$AE$2:$AE$177,1,Codificacion!$B$2:$B$177,"Accesibilidad",Codificacion!$F$2:$F$177,"Aplicable_desde_2026-08*")</f>
        <v>2</v>
      </c>
      <c r="K6" s="17" t="n">
        <f aca="false">COUNTIFS(Codificacion!$AE$2:$AE$177,1,Codificacion!$B$2:$B$177,"Atención al cliente ES",Codificacion!$F$2:$F$177,"Vigente")+COUNTIFS(Codificacion!$AE$2:$AE$177,1,Codificacion!$B$2:$B$177,"Atención al cliente ES",Codificacion!$F$2:$F$177,"Aplicable_desde_2023*")+COUNTIFS(Codificacion!$AE$2:$AE$177,1,Codificacion!$B$2:$B$177,"Atención al cliente ES",Codificacion!$F$2:$F$177,"Aplicable_desde_2026-07*")+COUNTIFS(Codificacion!$AE$2:$AE$177,1,Codificacion!$B$2:$B$177,"Atención al cliente ES",Codificacion!$F$2:$F$177,"Aplicable_desde_2026-08*")</f>
        <v>1</v>
      </c>
      <c r="L6" s="8" t="n">
        <f aca="false">SUM(C6:K6)</f>
        <v>12</v>
      </c>
      <c r="M6" s="8" t="n">
        <f aca="false">COUNTIF(C6:K6,"&gt;0")</f>
        <v>6</v>
      </c>
    </row>
    <row r="7" customFormat="false" ht="15" hidden="false" customHeight="true" outlineLevel="0" collapsed="false">
      <c r="A7" s="8" t="s">
        <v>183</v>
      </c>
      <c r="B7" s="10" t="s">
        <v>1057</v>
      </c>
      <c r="C7" s="17" t="n">
        <f aca="false">COUNTIFS(Codificacion!$AF$2:$AF$177,1,Codificacion!$B$2:$B$177,"Cuenta básica",Codificacion!$F$2:$F$177,"Vigente")+COUNTIFS(Codificacion!$AF$2:$AF$177,1,Codificacion!$B$2:$B$177,"Cuenta básica",Codificacion!$F$2:$F$177,"Aplicable_desde_2023*")+COUNTIFS(Codificacion!$AF$2:$AF$177,1,Codificacion!$B$2:$B$177,"Cuenta básica",Codificacion!$F$2:$F$177,"Aplicable_desde_2026-07*")+COUNTIFS(Codificacion!$AF$2:$AF$177,1,Codificacion!$B$2:$B$177,"Cuenta básica",Codificacion!$F$2:$F$177,"Aplicable_desde_2026-08*")</f>
        <v>0</v>
      </c>
      <c r="D7" s="17" t="n">
        <f aca="false">COUNTIFS(Codificacion!$AF$2:$AF$177,1,Codificacion!$B$2:$B$177,"AML",Codificacion!$F$2:$F$177,"Vigente")+COUNTIFS(Codificacion!$AF$2:$AF$177,1,Codificacion!$B$2:$B$177,"AML",Codificacion!$F$2:$F$177,"Aplicable_desde_2023*")+COUNTIFS(Codificacion!$AF$2:$AF$177,1,Codificacion!$B$2:$B$177,"AML",Codificacion!$F$2:$F$177,"Aplicable_desde_2026-07*")+COUNTIFS(Codificacion!$AF$2:$AF$177,1,Codificacion!$B$2:$B$177,"AML",Codificacion!$F$2:$F$177,"Aplicable_desde_2026-08*")</f>
        <v>1</v>
      </c>
      <c r="E7" s="17" t="n">
        <f aca="false">COUNTIFS(Codificacion!$AF$2:$AF$177,1,Codificacion!$B$2:$B$177,"Directrices EBA",Codificacion!$F$2:$F$177,"Vigente")+COUNTIFS(Codificacion!$AF$2:$AF$177,1,Codificacion!$B$2:$B$177,"Directrices EBA",Codificacion!$F$2:$F$177,"Aplicable_desde_2023*")+COUNTIFS(Codificacion!$AF$2:$AF$177,1,Codificacion!$B$2:$B$177,"Directrices EBA",Codificacion!$F$2:$F$177,"Aplicable_desde_2026-07*")+COUNTIFS(Codificacion!$AF$2:$AF$177,1,Codificacion!$B$2:$B$177,"Directrices EBA",Codificacion!$F$2:$F$177,"Aplicable_desde_2026-08*")</f>
        <v>0</v>
      </c>
      <c r="F7" s="17" t="n">
        <f aca="false">COUNTIFS(Codificacion!$AF$2:$AF$177,1,Codificacion!$B$2:$B$177,"RGPD",Codificacion!$F$2:$F$177,"Vigente")+COUNTIFS(Codificacion!$AF$2:$AF$177,1,Codificacion!$B$2:$B$177,"RGPD",Codificacion!$F$2:$F$177,"Aplicable_desde_2023*")+COUNTIFS(Codificacion!$AF$2:$AF$177,1,Codificacion!$B$2:$B$177,"RGPD",Codificacion!$F$2:$F$177,"Aplicable_desde_2026-07*")+COUNTIFS(Codificacion!$AF$2:$AF$177,1,Codificacion!$B$2:$B$177,"RGPD",Codificacion!$F$2:$F$177,"Aplicable_desde_2026-08*")</f>
        <v>0</v>
      </c>
      <c r="G7" s="17" t="n">
        <f aca="false">COUNTIFS(Codificacion!$AF$2:$AF$177,1,Codificacion!$B$2:$B$177,"AI Act",Codificacion!$F$2:$F$177,"Vigente")+COUNTIFS(Codificacion!$AF$2:$AF$177,1,Codificacion!$B$2:$B$177,"AI Act",Codificacion!$F$2:$F$177,"Aplicable_desde_2023*")+COUNTIFS(Codificacion!$AF$2:$AF$177,1,Codificacion!$B$2:$B$177,"AI Act",Codificacion!$F$2:$F$177,"Aplicable_desde_2026-07*")+COUNTIFS(Codificacion!$AF$2:$AF$177,1,Codificacion!$B$2:$B$177,"AI Act",Codificacion!$F$2:$F$177,"Aplicable_desde_2026-08*")</f>
        <v>0</v>
      </c>
      <c r="H7" s="17" t="n">
        <f aca="false">COUNTIFS(Codificacion!$AF$2:$AF$177,1,Codificacion!$B$2:$B$177,"DORA",Codificacion!$F$2:$F$177,"Vigente")+COUNTIFS(Codificacion!$AF$2:$AF$177,1,Codificacion!$B$2:$B$177,"DORA",Codificacion!$F$2:$F$177,"Aplicable_desde_2023*")+COUNTIFS(Codificacion!$AF$2:$AF$177,1,Codificacion!$B$2:$B$177,"DORA",Codificacion!$F$2:$F$177,"Aplicable_desde_2026-07*")+COUNTIFS(Codificacion!$AF$2:$AF$177,1,Codificacion!$B$2:$B$177,"DORA",Codificacion!$F$2:$F$177,"Aplicable_desde_2026-08*")</f>
        <v>0</v>
      </c>
      <c r="I7" s="17" t="n">
        <f aca="false">COUNTIFS(Codificacion!$AF$2:$AF$177,1,Codificacion!$B$2:$B$177,"eIDAS 2",Codificacion!$F$2:$F$177,"Vigente")+COUNTIFS(Codificacion!$AF$2:$AF$177,1,Codificacion!$B$2:$B$177,"eIDAS 2",Codificacion!$F$2:$F$177,"Aplicable_desde_2023*")+COUNTIFS(Codificacion!$AF$2:$AF$177,1,Codificacion!$B$2:$B$177,"eIDAS 2",Codificacion!$F$2:$F$177,"Aplicable_desde_2026-07*")+COUNTIFS(Codificacion!$AF$2:$AF$177,1,Codificacion!$B$2:$B$177,"eIDAS 2",Codificacion!$F$2:$F$177,"Aplicable_desde_2026-08*")</f>
        <v>0</v>
      </c>
      <c r="J7" s="17" t="n">
        <f aca="false">COUNTIFS(Codificacion!$AF$2:$AF$177,1,Codificacion!$B$2:$B$177,"Accesibilidad",Codificacion!$F$2:$F$177,"Vigente")+COUNTIFS(Codificacion!$AF$2:$AF$177,1,Codificacion!$B$2:$B$177,"Accesibilidad",Codificacion!$F$2:$F$177,"Aplicable_desde_2023*")+COUNTIFS(Codificacion!$AF$2:$AF$177,1,Codificacion!$B$2:$B$177,"Accesibilidad",Codificacion!$F$2:$F$177,"Aplicable_desde_2026-07*")+COUNTIFS(Codificacion!$AF$2:$AF$177,1,Codificacion!$B$2:$B$177,"Accesibilidad",Codificacion!$F$2:$F$177,"Aplicable_desde_2026-08*")</f>
        <v>1</v>
      </c>
      <c r="K7" s="17" t="n">
        <f aca="false">COUNTIFS(Codificacion!$AF$2:$AF$177,1,Codificacion!$B$2:$B$177,"Atención al cliente ES",Codificacion!$F$2:$F$177,"Vigente")+COUNTIFS(Codificacion!$AF$2:$AF$177,1,Codificacion!$B$2:$B$177,"Atención al cliente ES",Codificacion!$F$2:$F$177,"Aplicable_desde_2023*")+COUNTIFS(Codificacion!$AF$2:$AF$177,1,Codificacion!$B$2:$B$177,"Atención al cliente ES",Codificacion!$F$2:$F$177,"Aplicable_desde_2026-07*")+COUNTIFS(Codificacion!$AF$2:$AF$177,1,Codificacion!$B$2:$B$177,"Atención al cliente ES",Codificacion!$F$2:$F$177,"Aplicable_desde_2026-08*")</f>
        <v>0</v>
      </c>
      <c r="L7" s="8" t="n">
        <f aca="false">SUM(C7:K7)</f>
        <v>2</v>
      </c>
      <c r="M7" s="8" t="n">
        <f aca="false">COUNTIF(C7:K7,"&gt;0")</f>
        <v>2</v>
      </c>
    </row>
    <row r="8" customFormat="false" ht="15" hidden="false" customHeight="true" outlineLevel="0" collapsed="false">
      <c r="A8" s="8" t="s">
        <v>184</v>
      </c>
      <c r="B8" s="10" t="s">
        <v>1058</v>
      </c>
      <c r="C8" s="17" t="n">
        <f aca="false">COUNTIFS(Codificacion!$AG$2:$AG$177,1,Codificacion!$B$2:$B$177,"Cuenta básica",Codificacion!$F$2:$F$177,"Vigente")+COUNTIFS(Codificacion!$AG$2:$AG$177,1,Codificacion!$B$2:$B$177,"Cuenta básica",Codificacion!$F$2:$F$177,"Aplicable_desde_2023*")+COUNTIFS(Codificacion!$AG$2:$AG$177,1,Codificacion!$B$2:$B$177,"Cuenta básica",Codificacion!$F$2:$F$177,"Aplicable_desde_2026-07*")+COUNTIFS(Codificacion!$AG$2:$AG$177,1,Codificacion!$B$2:$B$177,"Cuenta básica",Codificacion!$F$2:$F$177,"Aplicable_desde_2026-08*")</f>
        <v>0</v>
      </c>
      <c r="D8" s="17" t="n">
        <f aca="false">COUNTIFS(Codificacion!$AG$2:$AG$177,1,Codificacion!$B$2:$B$177,"AML",Codificacion!$F$2:$F$177,"Vigente")+COUNTIFS(Codificacion!$AG$2:$AG$177,1,Codificacion!$B$2:$B$177,"AML",Codificacion!$F$2:$F$177,"Aplicable_desde_2023*")+COUNTIFS(Codificacion!$AG$2:$AG$177,1,Codificacion!$B$2:$B$177,"AML",Codificacion!$F$2:$F$177,"Aplicable_desde_2026-07*")+COUNTIFS(Codificacion!$AG$2:$AG$177,1,Codificacion!$B$2:$B$177,"AML",Codificacion!$F$2:$F$177,"Aplicable_desde_2026-08*")</f>
        <v>0</v>
      </c>
      <c r="E8" s="17" t="n">
        <f aca="false">COUNTIFS(Codificacion!$AG$2:$AG$177,1,Codificacion!$B$2:$B$177,"Directrices EBA",Codificacion!$F$2:$F$177,"Vigente")+COUNTIFS(Codificacion!$AG$2:$AG$177,1,Codificacion!$B$2:$B$177,"Directrices EBA",Codificacion!$F$2:$F$177,"Aplicable_desde_2023*")+COUNTIFS(Codificacion!$AG$2:$AG$177,1,Codificacion!$B$2:$B$177,"Directrices EBA",Codificacion!$F$2:$F$177,"Aplicable_desde_2026-07*")+COUNTIFS(Codificacion!$AG$2:$AG$177,1,Codificacion!$B$2:$B$177,"Directrices EBA",Codificacion!$F$2:$F$177,"Aplicable_desde_2026-08*")</f>
        <v>3</v>
      </c>
      <c r="F8" s="17" t="n">
        <f aca="false">COUNTIFS(Codificacion!$AG$2:$AG$177,1,Codificacion!$B$2:$B$177,"RGPD",Codificacion!$F$2:$F$177,"Vigente")+COUNTIFS(Codificacion!$AG$2:$AG$177,1,Codificacion!$B$2:$B$177,"RGPD",Codificacion!$F$2:$F$177,"Aplicable_desde_2023*")+COUNTIFS(Codificacion!$AG$2:$AG$177,1,Codificacion!$B$2:$B$177,"RGPD",Codificacion!$F$2:$F$177,"Aplicable_desde_2026-07*")+COUNTIFS(Codificacion!$AG$2:$AG$177,1,Codificacion!$B$2:$B$177,"RGPD",Codificacion!$F$2:$F$177,"Aplicable_desde_2026-08*")</f>
        <v>0</v>
      </c>
      <c r="G8" s="17" t="n">
        <f aca="false">COUNTIFS(Codificacion!$AG$2:$AG$177,1,Codificacion!$B$2:$B$177,"AI Act",Codificacion!$F$2:$F$177,"Vigente")+COUNTIFS(Codificacion!$AG$2:$AG$177,1,Codificacion!$B$2:$B$177,"AI Act",Codificacion!$F$2:$F$177,"Aplicable_desde_2023*")+COUNTIFS(Codificacion!$AG$2:$AG$177,1,Codificacion!$B$2:$B$177,"AI Act",Codificacion!$F$2:$F$177,"Aplicable_desde_2026-07*")+COUNTIFS(Codificacion!$AG$2:$AG$177,1,Codificacion!$B$2:$B$177,"AI Act",Codificacion!$F$2:$F$177,"Aplicable_desde_2026-08*")</f>
        <v>0</v>
      </c>
      <c r="H8" s="17" t="n">
        <f aca="false">COUNTIFS(Codificacion!$AG$2:$AG$177,1,Codificacion!$B$2:$B$177,"DORA",Codificacion!$F$2:$F$177,"Vigente")+COUNTIFS(Codificacion!$AG$2:$AG$177,1,Codificacion!$B$2:$B$177,"DORA",Codificacion!$F$2:$F$177,"Aplicable_desde_2023*")+COUNTIFS(Codificacion!$AG$2:$AG$177,1,Codificacion!$B$2:$B$177,"DORA",Codificacion!$F$2:$F$177,"Aplicable_desde_2026-07*")+COUNTIFS(Codificacion!$AG$2:$AG$177,1,Codificacion!$B$2:$B$177,"DORA",Codificacion!$F$2:$F$177,"Aplicable_desde_2026-08*")</f>
        <v>8</v>
      </c>
      <c r="I8" s="17" t="n">
        <f aca="false">COUNTIFS(Codificacion!$AG$2:$AG$177,1,Codificacion!$B$2:$B$177,"eIDAS 2",Codificacion!$F$2:$F$177,"Vigente")+COUNTIFS(Codificacion!$AG$2:$AG$177,1,Codificacion!$B$2:$B$177,"eIDAS 2",Codificacion!$F$2:$F$177,"Aplicable_desde_2023*")+COUNTIFS(Codificacion!$AG$2:$AG$177,1,Codificacion!$B$2:$B$177,"eIDAS 2",Codificacion!$F$2:$F$177,"Aplicable_desde_2026-07*")+COUNTIFS(Codificacion!$AG$2:$AG$177,1,Codificacion!$B$2:$B$177,"eIDAS 2",Codificacion!$F$2:$F$177,"Aplicable_desde_2026-08*")</f>
        <v>0</v>
      </c>
      <c r="J8" s="17" t="n">
        <f aca="false">COUNTIFS(Codificacion!$AG$2:$AG$177,1,Codificacion!$B$2:$B$177,"Accesibilidad",Codificacion!$F$2:$F$177,"Vigente")+COUNTIFS(Codificacion!$AG$2:$AG$177,1,Codificacion!$B$2:$B$177,"Accesibilidad",Codificacion!$F$2:$F$177,"Aplicable_desde_2023*")+COUNTIFS(Codificacion!$AG$2:$AG$177,1,Codificacion!$B$2:$B$177,"Accesibilidad",Codificacion!$F$2:$F$177,"Aplicable_desde_2026-07*")+COUNTIFS(Codificacion!$AG$2:$AG$177,1,Codificacion!$B$2:$B$177,"Accesibilidad",Codificacion!$F$2:$F$177,"Aplicable_desde_2026-08*")</f>
        <v>0</v>
      </c>
      <c r="K8" s="17" t="n">
        <f aca="false">COUNTIFS(Codificacion!$AG$2:$AG$177,1,Codificacion!$B$2:$B$177,"Atención al cliente ES",Codificacion!$F$2:$F$177,"Vigente")+COUNTIFS(Codificacion!$AG$2:$AG$177,1,Codificacion!$B$2:$B$177,"Atención al cliente ES",Codificacion!$F$2:$F$177,"Aplicable_desde_2023*")+COUNTIFS(Codificacion!$AG$2:$AG$177,1,Codificacion!$B$2:$B$177,"Atención al cliente ES",Codificacion!$F$2:$F$177,"Aplicable_desde_2026-07*")+COUNTIFS(Codificacion!$AG$2:$AG$177,1,Codificacion!$B$2:$B$177,"Atención al cliente ES",Codificacion!$F$2:$F$177,"Aplicable_desde_2026-08*")</f>
        <v>0</v>
      </c>
      <c r="L8" s="8" t="n">
        <f aca="false">SUM(C8:K8)</f>
        <v>11</v>
      </c>
      <c r="M8" s="8" t="n">
        <f aca="false">COUNTIF(C8:K8,"&gt;0")</f>
        <v>2</v>
      </c>
    </row>
    <row r="9" customFormat="false" ht="15" hidden="false" customHeight="true" outlineLevel="0" collapsed="false">
      <c r="A9" s="8" t="s">
        <v>185</v>
      </c>
      <c r="B9" s="10" t="s">
        <v>147</v>
      </c>
      <c r="C9" s="17" t="n">
        <f aca="false">COUNTIFS(Codificacion!$AH$2:$AH$177,1,Codificacion!$B$2:$B$177,"Cuenta básica",Codificacion!$F$2:$F$177,"Vigente")+COUNTIFS(Codificacion!$AH$2:$AH$177,1,Codificacion!$B$2:$B$177,"Cuenta básica",Codificacion!$F$2:$F$177,"Aplicable_desde_2023*")+COUNTIFS(Codificacion!$AH$2:$AH$177,1,Codificacion!$B$2:$B$177,"Cuenta básica",Codificacion!$F$2:$F$177,"Aplicable_desde_2026-07*")+COUNTIFS(Codificacion!$AH$2:$AH$177,1,Codificacion!$B$2:$B$177,"Cuenta básica",Codificacion!$F$2:$F$177,"Aplicable_desde_2026-08*")</f>
        <v>0</v>
      </c>
      <c r="D9" s="17" t="n">
        <f aca="false">COUNTIFS(Codificacion!$AH$2:$AH$177,1,Codificacion!$B$2:$B$177,"AML",Codificacion!$F$2:$F$177,"Vigente")+COUNTIFS(Codificacion!$AH$2:$AH$177,1,Codificacion!$B$2:$B$177,"AML",Codificacion!$F$2:$F$177,"Aplicable_desde_2023*")+COUNTIFS(Codificacion!$AH$2:$AH$177,1,Codificacion!$B$2:$B$177,"AML",Codificacion!$F$2:$F$177,"Aplicable_desde_2026-07*")+COUNTIFS(Codificacion!$AH$2:$AH$177,1,Codificacion!$B$2:$B$177,"AML",Codificacion!$F$2:$F$177,"Aplicable_desde_2026-08*")</f>
        <v>4</v>
      </c>
      <c r="E9" s="17" t="n">
        <f aca="false">COUNTIFS(Codificacion!$AH$2:$AH$177,1,Codificacion!$B$2:$B$177,"Directrices EBA",Codificacion!$F$2:$F$177,"Vigente")+COUNTIFS(Codificacion!$AH$2:$AH$177,1,Codificacion!$B$2:$B$177,"Directrices EBA",Codificacion!$F$2:$F$177,"Aplicable_desde_2023*")+COUNTIFS(Codificacion!$AH$2:$AH$177,1,Codificacion!$B$2:$B$177,"Directrices EBA",Codificacion!$F$2:$F$177,"Aplicable_desde_2026-07*")+COUNTIFS(Codificacion!$AH$2:$AH$177,1,Codificacion!$B$2:$B$177,"Directrices EBA",Codificacion!$F$2:$F$177,"Aplicable_desde_2026-08*")</f>
        <v>10</v>
      </c>
      <c r="F9" s="17" t="n">
        <f aca="false">COUNTIFS(Codificacion!$AH$2:$AH$177,1,Codificacion!$B$2:$B$177,"RGPD",Codificacion!$F$2:$F$177,"Vigente")+COUNTIFS(Codificacion!$AH$2:$AH$177,1,Codificacion!$B$2:$B$177,"RGPD",Codificacion!$F$2:$F$177,"Aplicable_desde_2023*")+COUNTIFS(Codificacion!$AH$2:$AH$177,1,Codificacion!$B$2:$B$177,"RGPD",Codificacion!$F$2:$F$177,"Aplicable_desde_2026-07*")+COUNTIFS(Codificacion!$AH$2:$AH$177,1,Codificacion!$B$2:$B$177,"RGPD",Codificacion!$F$2:$F$177,"Aplicable_desde_2026-08*")</f>
        <v>0</v>
      </c>
      <c r="G9" s="17" t="n">
        <f aca="false">COUNTIFS(Codificacion!$AH$2:$AH$177,1,Codificacion!$B$2:$B$177,"AI Act",Codificacion!$F$2:$F$177,"Vigente")+COUNTIFS(Codificacion!$AH$2:$AH$177,1,Codificacion!$B$2:$B$177,"AI Act",Codificacion!$F$2:$F$177,"Aplicable_desde_2023*")+COUNTIFS(Codificacion!$AH$2:$AH$177,1,Codificacion!$B$2:$B$177,"AI Act",Codificacion!$F$2:$F$177,"Aplicable_desde_2026-07*")+COUNTIFS(Codificacion!$AH$2:$AH$177,1,Codificacion!$B$2:$B$177,"AI Act",Codificacion!$F$2:$F$177,"Aplicable_desde_2026-08*")</f>
        <v>0</v>
      </c>
      <c r="H9" s="17" t="n">
        <f aca="false">COUNTIFS(Codificacion!$AH$2:$AH$177,1,Codificacion!$B$2:$B$177,"DORA",Codificacion!$F$2:$F$177,"Vigente")+COUNTIFS(Codificacion!$AH$2:$AH$177,1,Codificacion!$B$2:$B$177,"DORA",Codificacion!$F$2:$F$177,"Aplicable_desde_2023*")+COUNTIFS(Codificacion!$AH$2:$AH$177,1,Codificacion!$B$2:$B$177,"DORA",Codificacion!$F$2:$F$177,"Aplicable_desde_2026-07*")+COUNTIFS(Codificacion!$AH$2:$AH$177,1,Codificacion!$B$2:$B$177,"DORA",Codificacion!$F$2:$F$177,"Aplicable_desde_2026-08*")</f>
        <v>0</v>
      </c>
      <c r="I9" s="17" t="n">
        <f aca="false">COUNTIFS(Codificacion!$AH$2:$AH$177,1,Codificacion!$B$2:$B$177,"eIDAS 2",Codificacion!$F$2:$F$177,"Vigente")+COUNTIFS(Codificacion!$AH$2:$AH$177,1,Codificacion!$B$2:$B$177,"eIDAS 2",Codificacion!$F$2:$F$177,"Aplicable_desde_2023*")+COUNTIFS(Codificacion!$AH$2:$AH$177,1,Codificacion!$B$2:$B$177,"eIDAS 2",Codificacion!$F$2:$F$177,"Aplicable_desde_2026-07*")+COUNTIFS(Codificacion!$AH$2:$AH$177,1,Codificacion!$B$2:$B$177,"eIDAS 2",Codificacion!$F$2:$F$177,"Aplicable_desde_2026-08*")</f>
        <v>0</v>
      </c>
      <c r="J9" s="17" t="n">
        <f aca="false">COUNTIFS(Codificacion!$AH$2:$AH$177,1,Codificacion!$B$2:$B$177,"Accesibilidad",Codificacion!$F$2:$F$177,"Vigente")+COUNTIFS(Codificacion!$AH$2:$AH$177,1,Codificacion!$B$2:$B$177,"Accesibilidad",Codificacion!$F$2:$F$177,"Aplicable_desde_2023*")+COUNTIFS(Codificacion!$AH$2:$AH$177,1,Codificacion!$B$2:$B$177,"Accesibilidad",Codificacion!$F$2:$F$177,"Aplicable_desde_2026-07*")+COUNTIFS(Codificacion!$AH$2:$AH$177,1,Codificacion!$B$2:$B$177,"Accesibilidad",Codificacion!$F$2:$F$177,"Aplicable_desde_2026-08*")</f>
        <v>0</v>
      </c>
      <c r="K9" s="17" t="n">
        <f aca="false">COUNTIFS(Codificacion!$AH$2:$AH$177,1,Codificacion!$B$2:$B$177,"Atención al cliente ES",Codificacion!$F$2:$F$177,"Vigente")+COUNTIFS(Codificacion!$AH$2:$AH$177,1,Codificacion!$B$2:$B$177,"Atención al cliente ES",Codificacion!$F$2:$F$177,"Aplicable_desde_2023*")+COUNTIFS(Codificacion!$AH$2:$AH$177,1,Codificacion!$B$2:$B$177,"Atención al cliente ES",Codificacion!$F$2:$F$177,"Aplicable_desde_2026-07*")+COUNTIFS(Codificacion!$AH$2:$AH$177,1,Codificacion!$B$2:$B$177,"Atención al cliente ES",Codificacion!$F$2:$F$177,"Aplicable_desde_2026-08*")</f>
        <v>0</v>
      </c>
      <c r="L9" s="8" t="n">
        <f aca="false">SUM(C9:K9)</f>
        <v>14</v>
      </c>
      <c r="M9" s="8" t="n">
        <f aca="false">COUNTIF(C9:K9,"&gt;0")</f>
        <v>2</v>
      </c>
    </row>
    <row r="10" customFormat="false" ht="15" hidden="false" customHeight="true" outlineLevel="0" collapsed="false">
      <c r="A10" s="8" t="s">
        <v>186</v>
      </c>
      <c r="B10" s="10" t="s">
        <v>149</v>
      </c>
      <c r="C10" s="17" t="n">
        <f aca="false">COUNTIFS(Codificacion!$AI$2:$AI$177,1,Codificacion!$B$2:$B$177,"Cuenta básica",Codificacion!$F$2:$F$177,"Vigente")+COUNTIFS(Codificacion!$AI$2:$AI$177,1,Codificacion!$B$2:$B$177,"Cuenta básica",Codificacion!$F$2:$F$177,"Aplicable_desde_2023*")+COUNTIFS(Codificacion!$AI$2:$AI$177,1,Codificacion!$B$2:$B$177,"Cuenta básica",Codificacion!$F$2:$F$177,"Aplicable_desde_2026-07*")+COUNTIFS(Codificacion!$AI$2:$AI$177,1,Codificacion!$B$2:$B$177,"Cuenta básica",Codificacion!$F$2:$F$177,"Aplicable_desde_2026-08*")</f>
        <v>3</v>
      </c>
      <c r="D10" s="17" t="n">
        <f aca="false">COUNTIFS(Codificacion!$AI$2:$AI$177,1,Codificacion!$B$2:$B$177,"AML",Codificacion!$F$2:$F$177,"Vigente")+COUNTIFS(Codificacion!$AI$2:$AI$177,1,Codificacion!$B$2:$B$177,"AML",Codificacion!$F$2:$F$177,"Aplicable_desde_2023*")+COUNTIFS(Codificacion!$AI$2:$AI$177,1,Codificacion!$B$2:$B$177,"AML",Codificacion!$F$2:$F$177,"Aplicable_desde_2026-07*")+COUNTIFS(Codificacion!$AI$2:$AI$177,1,Codificacion!$B$2:$B$177,"AML",Codificacion!$F$2:$F$177,"Aplicable_desde_2026-08*")</f>
        <v>6</v>
      </c>
      <c r="E10" s="17" t="n">
        <f aca="false">COUNTIFS(Codificacion!$AI$2:$AI$177,1,Codificacion!$B$2:$B$177,"Directrices EBA",Codificacion!$F$2:$F$177,"Vigente")+COUNTIFS(Codificacion!$AI$2:$AI$177,1,Codificacion!$B$2:$B$177,"Directrices EBA",Codificacion!$F$2:$F$177,"Aplicable_desde_2023*")+COUNTIFS(Codificacion!$AI$2:$AI$177,1,Codificacion!$B$2:$B$177,"Directrices EBA",Codificacion!$F$2:$F$177,"Aplicable_desde_2026-07*")+COUNTIFS(Codificacion!$AI$2:$AI$177,1,Codificacion!$B$2:$B$177,"Directrices EBA",Codificacion!$F$2:$F$177,"Aplicable_desde_2026-08*")</f>
        <v>6</v>
      </c>
      <c r="F10" s="17" t="n">
        <f aca="false">COUNTIFS(Codificacion!$AI$2:$AI$177,1,Codificacion!$B$2:$B$177,"RGPD",Codificacion!$F$2:$F$177,"Vigente")+COUNTIFS(Codificacion!$AI$2:$AI$177,1,Codificacion!$B$2:$B$177,"RGPD",Codificacion!$F$2:$F$177,"Aplicable_desde_2023*")+COUNTIFS(Codificacion!$AI$2:$AI$177,1,Codificacion!$B$2:$B$177,"RGPD",Codificacion!$F$2:$F$177,"Aplicable_desde_2026-07*")+COUNTIFS(Codificacion!$AI$2:$AI$177,1,Codificacion!$B$2:$B$177,"RGPD",Codificacion!$F$2:$F$177,"Aplicable_desde_2026-08*")</f>
        <v>0</v>
      </c>
      <c r="G10" s="17" t="n">
        <f aca="false">COUNTIFS(Codificacion!$AI$2:$AI$177,1,Codificacion!$B$2:$B$177,"AI Act",Codificacion!$F$2:$F$177,"Vigente")+COUNTIFS(Codificacion!$AI$2:$AI$177,1,Codificacion!$B$2:$B$177,"AI Act",Codificacion!$F$2:$F$177,"Aplicable_desde_2023*")+COUNTIFS(Codificacion!$AI$2:$AI$177,1,Codificacion!$B$2:$B$177,"AI Act",Codificacion!$F$2:$F$177,"Aplicable_desde_2026-07*")+COUNTIFS(Codificacion!$AI$2:$AI$177,1,Codificacion!$B$2:$B$177,"AI Act",Codificacion!$F$2:$F$177,"Aplicable_desde_2026-08*")</f>
        <v>0</v>
      </c>
      <c r="H10" s="17" t="n">
        <f aca="false">COUNTIFS(Codificacion!$AI$2:$AI$177,1,Codificacion!$B$2:$B$177,"DORA",Codificacion!$F$2:$F$177,"Vigente")+COUNTIFS(Codificacion!$AI$2:$AI$177,1,Codificacion!$B$2:$B$177,"DORA",Codificacion!$F$2:$F$177,"Aplicable_desde_2023*")+COUNTIFS(Codificacion!$AI$2:$AI$177,1,Codificacion!$B$2:$B$177,"DORA",Codificacion!$F$2:$F$177,"Aplicable_desde_2026-07*")+COUNTIFS(Codificacion!$AI$2:$AI$177,1,Codificacion!$B$2:$B$177,"DORA",Codificacion!$F$2:$F$177,"Aplicable_desde_2026-08*")</f>
        <v>0</v>
      </c>
      <c r="I10" s="17" t="n">
        <f aca="false">COUNTIFS(Codificacion!$AI$2:$AI$177,1,Codificacion!$B$2:$B$177,"eIDAS 2",Codificacion!$F$2:$F$177,"Vigente")+COUNTIFS(Codificacion!$AI$2:$AI$177,1,Codificacion!$B$2:$B$177,"eIDAS 2",Codificacion!$F$2:$F$177,"Aplicable_desde_2023*")+COUNTIFS(Codificacion!$AI$2:$AI$177,1,Codificacion!$B$2:$B$177,"eIDAS 2",Codificacion!$F$2:$F$177,"Aplicable_desde_2026-07*")+COUNTIFS(Codificacion!$AI$2:$AI$177,1,Codificacion!$B$2:$B$177,"eIDAS 2",Codificacion!$F$2:$F$177,"Aplicable_desde_2026-08*")</f>
        <v>0</v>
      </c>
      <c r="J10" s="17" t="n">
        <f aca="false">COUNTIFS(Codificacion!$AI$2:$AI$177,1,Codificacion!$B$2:$B$177,"Accesibilidad",Codificacion!$F$2:$F$177,"Vigente")+COUNTIFS(Codificacion!$AI$2:$AI$177,1,Codificacion!$B$2:$B$177,"Accesibilidad",Codificacion!$F$2:$F$177,"Aplicable_desde_2023*")+COUNTIFS(Codificacion!$AI$2:$AI$177,1,Codificacion!$B$2:$B$177,"Accesibilidad",Codificacion!$F$2:$F$177,"Aplicable_desde_2026-07*")+COUNTIFS(Codificacion!$AI$2:$AI$177,1,Codificacion!$B$2:$B$177,"Accesibilidad",Codificacion!$F$2:$F$177,"Aplicable_desde_2026-08*")</f>
        <v>0</v>
      </c>
      <c r="K10" s="17" t="n">
        <f aca="false">COUNTIFS(Codificacion!$AI$2:$AI$177,1,Codificacion!$B$2:$B$177,"Atención al cliente ES",Codificacion!$F$2:$F$177,"Vigente")+COUNTIFS(Codificacion!$AI$2:$AI$177,1,Codificacion!$B$2:$B$177,"Atención al cliente ES",Codificacion!$F$2:$F$177,"Aplicable_desde_2023*")+COUNTIFS(Codificacion!$AI$2:$AI$177,1,Codificacion!$B$2:$B$177,"Atención al cliente ES",Codificacion!$F$2:$F$177,"Aplicable_desde_2026-07*")+COUNTIFS(Codificacion!$AI$2:$AI$177,1,Codificacion!$B$2:$B$177,"Atención al cliente ES",Codificacion!$F$2:$F$177,"Aplicable_desde_2026-08*")</f>
        <v>0</v>
      </c>
      <c r="L10" s="8" t="n">
        <f aca="false">SUM(C10:K10)</f>
        <v>15</v>
      </c>
      <c r="M10" s="8" t="n">
        <f aca="false">COUNTIF(C10:K10,"&gt;0")</f>
        <v>3</v>
      </c>
    </row>
    <row r="11" customFormat="false" ht="15" hidden="false" customHeight="true" outlineLevel="0" collapsed="false">
      <c r="A11" s="8" t="s">
        <v>187</v>
      </c>
      <c r="B11" s="10" t="s">
        <v>1059</v>
      </c>
      <c r="C11" s="17" t="n">
        <f aca="false">COUNTIFS(Codificacion!$AJ$2:$AJ$177,1,Codificacion!$B$2:$B$177,"Cuenta básica",Codificacion!$F$2:$F$177,"Vigente")+COUNTIFS(Codificacion!$AJ$2:$AJ$177,1,Codificacion!$B$2:$B$177,"Cuenta básica",Codificacion!$F$2:$F$177,"Aplicable_desde_2023*")+COUNTIFS(Codificacion!$AJ$2:$AJ$177,1,Codificacion!$B$2:$B$177,"Cuenta básica",Codificacion!$F$2:$F$177,"Aplicable_desde_2026-07*")+COUNTIFS(Codificacion!$AJ$2:$AJ$177,1,Codificacion!$B$2:$B$177,"Cuenta básica",Codificacion!$F$2:$F$177,"Aplicable_desde_2026-08*")</f>
        <v>0</v>
      </c>
      <c r="D11" s="17" t="n">
        <f aca="false">COUNTIFS(Codificacion!$AJ$2:$AJ$177,1,Codificacion!$B$2:$B$177,"AML",Codificacion!$F$2:$F$177,"Vigente")+COUNTIFS(Codificacion!$AJ$2:$AJ$177,1,Codificacion!$B$2:$B$177,"AML",Codificacion!$F$2:$F$177,"Aplicable_desde_2023*")+COUNTIFS(Codificacion!$AJ$2:$AJ$177,1,Codificacion!$B$2:$B$177,"AML",Codificacion!$F$2:$F$177,"Aplicable_desde_2026-07*")+COUNTIFS(Codificacion!$AJ$2:$AJ$177,1,Codificacion!$B$2:$B$177,"AML",Codificacion!$F$2:$F$177,"Aplicable_desde_2026-08*")</f>
        <v>2</v>
      </c>
      <c r="E11" s="17" t="n">
        <f aca="false">COUNTIFS(Codificacion!$AJ$2:$AJ$177,1,Codificacion!$B$2:$B$177,"Directrices EBA",Codificacion!$F$2:$F$177,"Vigente")+COUNTIFS(Codificacion!$AJ$2:$AJ$177,1,Codificacion!$B$2:$B$177,"Directrices EBA",Codificacion!$F$2:$F$177,"Aplicable_desde_2023*")+COUNTIFS(Codificacion!$AJ$2:$AJ$177,1,Codificacion!$B$2:$B$177,"Directrices EBA",Codificacion!$F$2:$F$177,"Aplicable_desde_2026-07*")+COUNTIFS(Codificacion!$AJ$2:$AJ$177,1,Codificacion!$B$2:$B$177,"Directrices EBA",Codificacion!$F$2:$F$177,"Aplicable_desde_2026-08*")</f>
        <v>12</v>
      </c>
      <c r="F11" s="17" t="n">
        <f aca="false">COUNTIFS(Codificacion!$AJ$2:$AJ$177,1,Codificacion!$B$2:$B$177,"RGPD",Codificacion!$F$2:$F$177,"Vigente")+COUNTIFS(Codificacion!$AJ$2:$AJ$177,1,Codificacion!$B$2:$B$177,"RGPD",Codificacion!$F$2:$F$177,"Aplicable_desde_2023*")+COUNTIFS(Codificacion!$AJ$2:$AJ$177,1,Codificacion!$B$2:$B$177,"RGPD",Codificacion!$F$2:$F$177,"Aplicable_desde_2026-07*")+COUNTIFS(Codificacion!$AJ$2:$AJ$177,1,Codificacion!$B$2:$B$177,"RGPD",Codificacion!$F$2:$F$177,"Aplicable_desde_2026-08*")</f>
        <v>1</v>
      </c>
      <c r="G11" s="17" t="n">
        <f aca="false">COUNTIFS(Codificacion!$AJ$2:$AJ$177,1,Codificacion!$B$2:$B$177,"AI Act",Codificacion!$F$2:$F$177,"Vigente")+COUNTIFS(Codificacion!$AJ$2:$AJ$177,1,Codificacion!$B$2:$B$177,"AI Act",Codificacion!$F$2:$F$177,"Aplicable_desde_2023*")+COUNTIFS(Codificacion!$AJ$2:$AJ$177,1,Codificacion!$B$2:$B$177,"AI Act",Codificacion!$F$2:$F$177,"Aplicable_desde_2026-07*")+COUNTIFS(Codificacion!$AJ$2:$AJ$177,1,Codificacion!$B$2:$B$177,"AI Act",Codificacion!$F$2:$F$177,"Aplicable_desde_2026-08*")</f>
        <v>0</v>
      </c>
      <c r="H11" s="17" t="n">
        <f aca="false">COUNTIFS(Codificacion!$AJ$2:$AJ$177,1,Codificacion!$B$2:$B$177,"DORA",Codificacion!$F$2:$F$177,"Vigente")+COUNTIFS(Codificacion!$AJ$2:$AJ$177,1,Codificacion!$B$2:$B$177,"DORA",Codificacion!$F$2:$F$177,"Aplicable_desde_2023*")+COUNTIFS(Codificacion!$AJ$2:$AJ$177,1,Codificacion!$B$2:$B$177,"DORA",Codificacion!$F$2:$F$177,"Aplicable_desde_2026-07*")+COUNTIFS(Codificacion!$AJ$2:$AJ$177,1,Codificacion!$B$2:$B$177,"DORA",Codificacion!$F$2:$F$177,"Aplicable_desde_2026-08*")</f>
        <v>0</v>
      </c>
      <c r="I11" s="17" t="n">
        <f aca="false">COUNTIFS(Codificacion!$AJ$2:$AJ$177,1,Codificacion!$B$2:$B$177,"eIDAS 2",Codificacion!$F$2:$F$177,"Vigente")+COUNTIFS(Codificacion!$AJ$2:$AJ$177,1,Codificacion!$B$2:$B$177,"eIDAS 2",Codificacion!$F$2:$F$177,"Aplicable_desde_2023*")+COUNTIFS(Codificacion!$AJ$2:$AJ$177,1,Codificacion!$B$2:$B$177,"eIDAS 2",Codificacion!$F$2:$F$177,"Aplicable_desde_2026-07*")+COUNTIFS(Codificacion!$AJ$2:$AJ$177,1,Codificacion!$B$2:$B$177,"eIDAS 2",Codificacion!$F$2:$F$177,"Aplicable_desde_2026-08*")</f>
        <v>0</v>
      </c>
      <c r="J11" s="17" t="n">
        <f aca="false">COUNTIFS(Codificacion!$AJ$2:$AJ$177,1,Codificacion!$B$2:$B$177,"Accesibilidad",Codificacion!$F$2:$F$177,"Vigente")+COUNTIFS(Codificacion!$AJ$2:$AJ$177,1,Codificacion!$B$2:$B$177,"Accesibilidad",Codificacion!$F$2:$F$177,"Aplicable_desde_2023*")+COUNTIFS(Codificacion!$AJ$2:$AJ$177,1,Codificacion!$B$2:$B$177,"Accesibilidad",Codificacion!$F$2:$F$177,"Aplicable_desde_2026-07*")+COUNTIFS(Codificacion!$AJ$2:$AJ$177,1,Codificacion!$B$2:$B$177,"Accesibilidad",Codificacion!$F$2:$F$177,"Aplicable_desde_2026-08*")</f>
        <v>0</v>
      </c>
      <c r="K11" s="17" t="n">
        <f aca="false">COUNTIFS(Codificacion!$AJ$2:$AJ$177,1,Codificacion!$B$2:$B$177,"Atención al cliente ES",Codificacion!$F$2:$F$177,"Vigente")+COUNTIFS(Codificacion!$AJ$2:$AJ$177,1,Codificacion!$B$2:$B$177,"Atención al cliente ES",Codificacion!$F$2:$F$177,"Aplicable_desde_2023*")+COUNTIFS(Codificacion!$AJ$2:$AJ$177,1,Codificacion!$B$2:$B$177,"Atención al cliente ES",Codificacion!$F$2:$F$177,"Aplicable_desde_2026-07*")+COUNTIFS(Codificacion!$AJ$2:$AJ$177,1,Codificacion!$B$2:$B$177,"Atención al cliente ES",Codificacion!$F$2:$F$177,"Aplicable_desde_2026-08*")</f>
        <v>0</v>
      </c>
      <c r="L11" s="8" t="n">
        <f aca="false">SUM(C11:K11)</f>
        <v>15</v>
      </c>
      <c r="M11" s="8" t="n">
        <f aca="false">COUNTIF(C11:K11,"&gt;0")</f>
        <v>3</v>
      </c>
    </row>
    <row r="12" customFormat="false" ht="15" hidden="false" customHeight="true" outlineLevel="0" collapsed="false">
      <c r="A12" s="8" t="s">
        <v>188</v>
      </c>
      <c r="B12" s="10" t="s">
        <v>1060</v>
      </c>
      <c r="C12" s="17" t="n">
        <f aca="false">COUNTIFS(Codificacion!$AK$2:$AK$177,1,Codificacion!$B$2:$B$177,"Cuenta básica",Codificacion!$F$2:$F$177,"Vigente")+COUNTIFS(Codificacion!$AK$2:$AK$177,1,Codificacion!$B$2:$B$177,"Cuenta básica",Codificacion!$F$2:$F$177,"Aplicable_desde_2023*")+COUNTIFS(Codificacion!$AK$2:$AK$177,1,Codificacion!$B$2:$B$177,"Cuenta básica",Codificacion!$F$2:$F$177,"Aplicable_desde_2026-07*")+COUNTIFS(Codificacion!$AK$2:$AK$177,1,Codificacion!$B$2:$B$177,"Cuenta básica",Codificacion!$F$2:$F$177,"Aplicable_desde_2026-08*")</f>
        <v>2</v>
      </c>
      <c r="D12" s="17" t="n">
        <f aca="false">COUNTIFS(Codificacion!$AK$2:$AK$177,1,Codificacion!$B$2:$B$177,"AML",Codificacion!$F$2:$F$177,"Vigente")+COUNTIFS(Codificacion!$AK$2:$AK$177,1,Codificacion!$B$2:$B$177,"AML",Codificacion!$F$2:$F$177,"Aplicable_desde_2023*")+COUNTIFS(Codificacion!$AK$2:$AK$177,1,Codificacion!$B$2:$B$177,"AML",Codificacion!$F$2:$F$177,"Aplicable_desde_2026-07*")+COUNTIFS(Codificacion!$AK$2:$AK$177,1,Codificacion!$B$2:$B$177,"AML",Codificacion!$F$2:$F$177,"Aplicable_desde_2026-08*")</f>
        <v>2</v>
      </c>
      <c r="E12" s="17" t="n">
        <f aca="false">COUNTIFS(Codificacion!$AK$2:$AK$177,1,Codificacion!$B$2:$B$177,"Directrices EBA",Codificacion!$F$2:$F$177,"Vigente")+COUNTIFS(Codificacion!$AK$2:$AK$177,1,Codificacion!$B$2:$B$177,"Directrices EBA",Codificacion!$F$2:$F$177,"Aplicable_desde_2023*")+COUNTIFS(Codificacion!$AK$2:$AK$177,1,Codificacion!$B$2:$B$177,"Directrices EBA",Codificacion!$F$2:$F$177,"Aplicable_desde_2026-07*")+COUNTIFS(Codificacion!$AK$2:$AK$177,1,Codificacion!$B$2:$B$177,"Directrices EBA",Codificacion!$F$2:$F$177,"Aplicable_desde_2026-08*")</f>
        <v>0</v>
      </c>
      <c r="F12" s="17" t="n">
        <f aca="false">COUNTIFS(Codificacion!$AK$2:$AK$177,1,Codificacion!$B$2:$B$177,"RGPD",Codificacion!$F$2:$F$177,"Vigente")+COUNTIFS(Codificacion!$AK$2:$AK$177,1,Codificacion!$B$2:$B$177,"RGPD",Codificacion!$F$2:$F$177,"Aplicable_desde_2023*")+COUNTIFS(Codificacion!$AK$2:$AK$177,1,Codificacion!$B$2:$B$177,"RGPD",Codificacion!$F$2:$F$177,"Aplicable_desde_2026-07*")+COUNTIFS(Codificacion!$AK$2:$AK$177,1,Codificacion!$B$2:$B$177,"RGPD",Codificacion!$F$2:$F$177,"Aplicable_desde_2026-08*")</f>
        <v>0</v>
      </c>
      <c r="G12" s="17" t="n">
        <f aca="false">COUNTIFS(Codificacion!$AK$2:$AK$177,1,Codificacion!$B$2:$B$177,"AI Act",Codificacion!$F$2:$F$177,"Vigente")+COUNTIFS(Codificacion!$AK$2:$AK$177,1,Codificacion!$B$2:$B$177,"AI Act",Codificacion!$F$2:$F$177,"Aplicable_desde_2023*")+COUNTIFS(Codificacion!$AK$2:$AK$177,1,Codificacion!$B$2:$B$177,"AI Act",Codificacion!$F$2:$F$177,"Aplicable_desde_2026-07*")+COUNTIFS(Codificacion!$AK$2:$AK$177,1,Codificacion!$B$2:$B$177,"AI Act",Codificacion!$F$2:$F$177,"Aplicable_desde_2026-08*")</f>
        <v>0</v>
      </c>
      <c r="H12" s="17" t="n">
        <f aca="false">COUNTIFS(Codificacion!$AK$2:$AK$177,1,Codificacion!$B$2:$B$177,"DORA",Codificacion!$F$2:$F$177,"Vigente")+COUNTIFS(Codificacion!$AK$2:$AK$177,1,Codificacion!$B$2:$B$177,"DORA",Codificacion!$F$2:$F$177,"Aplicable_desde_2023*")+COUNTIFS(Codificacion!$AK$2:$AK$177,1,Codificacion!$B$2:$B$177,"DORA",Codificacion!$F$2:$F$177,"Aplicable_desde_2026-07*")+COUNTIFS(Codificacion!$AK$2:$AK$177,1,Codificacion!$B$2:$B$177,"DORA",Codificacion!$F$2:$F$177,"Aplicable_desde_2026-08*")</f>
        <v>0</v>
      </c>
      <c r="I12" s="17" t="n">
        <f aca="false">COUNTIFS(Codificacion!$AK$2:$AK$177,1,Codificacion!$B$2:$B$177,"eIDAS 2",Codificacion!$F$2:$F$177,"Vigente")+COUNTIFS(Codificacion!$AK$2:$AK$177,1,Codificacion!$B$2:$B$177,"eIDAS 2",Codificacion!$F$2:$F$177,"Aplicable_desde_2023*")+COUNTIFS(Codificacion!$AK$2:$AK$177,1,Codificacion!$B$2:$B$177,"eIDAS 2",Codificacion!$F$2:$F$177,"Aplicable_desde_2026-07*")+COUNTIFS(Codificacion!$AK$2:$AK$177,1,Codificacion!$B$2:$B$177,"eIDAS 2",Codificacion!$F$2:$F$177,"Aplicable_desde_2026-08*")</f>
        <v>0</v>
      </c>
      <c r="J12" s="17" t="n">
        <f aca="false">COUNTIFS(Codificacion!$AK$2:$AK$177,1,Codificacion!$B$2:$B$177,"Accesibilidad",Codificacion!$F$2:$F$177,"Vigente")+COUNTIFS(Codificacion!$AK$2:$AK$177,1,Codificacion!$B$2:$B$177,"Accesibilidad",Codificacion!$F$2:$F$177,"Aplicable_desde_2023*")+COUNTIFS(Codificacion!$AK$2:$AK$177,1,Codificacion!$B$2:$B$177,"Accesibilidad",Codificacion!$F$2:$F$177,"Aplicable_desde_2026-07*")+COUNTIFS(Codificacion!$AK$2:$AK$177,1,Codificacion!$B$2:$B$177,"Accesibilidad",Codificacion!$F$2:$F$177,"Aplicable_desde_2026-08*")</f>
        <v>0</v>
      </c>
      <c r="K12" s="17" t="n">
        <f aca="false">COUNTIFS(Codificacion!$AK$2:$AK$177,1,Codificacion!$B$2:$B$177,"Atención al cliente ES",Codificacion!$F$2:$F$177,"Vigente")+COUNTIFS(Codificacion!$AK$2:$AK$177,1,Codificacion!$B$2:$B$177,"Atención al cliente ES",Codificacion!$F$2:$F$177,"Aplicable_desde_2023*")+COUNTIFS(Codificacion!$AK$2:$AK$177,1,Codificacion!$B$2:$B$177,"Atención al cliente ES",Codificacion!$F$2:$F$177,"Aplicable_desde_2026-07*")+COUNTIFS(Codificacion!$AK$2:$AK$177,1,Codificacion!$B$2:$B$177,"Atención al cliente ES",Codificacion!$F$2:$F$177,"Aplicable_desde_2026-08*")</f>
        <v>0</v>
      </c>
      <c r="L12" s="8" t="n">
        <f aca="false">SUM(C12:K12)</f>
        <v>4</v>
      </c>
      <c r="M12" s="8" t="n">
        <f aca="false">COUNTIF(C12:K12,"&gt;0")</f>
        <v>2</v>
      </c>
    </row>
    <row r="13" customFormat="false" ht="15" hidden="false" customHeight="true" outlineLevel="0" collapsed="false">
      <c r="A13" s="8" t="s">
        <v>189</v>
      </c>
      <c r="B13" s="10" t="s">
        <v>1061</v>
      </c>
      <c r="C13" s="17" t="n">
        <f aca="false">COUNTIFS(Codificacion!$AL$2:$AL$177,1,Codificacion!$B$2:$B$177,"Cuenta básica",Codificacion!$F$2:$F$177,"Vigente")+COUNTIFS(Codificacion!$AL$2:$AL$177,1,Codificacion!$B$2:$B$177,"Cuenta básica",Codificacion!$F$2:$F$177,"Aplicable_desde_2023*")+COUNTIFS(Codificacion!$AL$2:$AL$177,1,Codificacion!$B$2:$B$177,"Cuenta básica",Codificacion!$F$2:$F$177,"Aplicable_desde_2026-07*")+COUNTIFS(Codificacion!$AL$2:$AL$177,1,Codificacion!$B$2:$B$177,"Cuenta básica",Codificacion!$F$2:$F$177,"Aplicable_desde_2026-08*")</f>
        <v>0</v>
      </c>
      <c r="D13" s="17" t="n">
        <f aca="false">COUNTIFS(Codificacion!$AL$2:$AL$177,1,Codificacion!$B$2:$B$177,"AML",Codificacion!$F$2:$F$177,"Vigente")+COUNTIFS(Codificacion!$AL$2:$AL$177,1,Codificacion!$B$2:$B$177,"AML",Codificacion!$F$2:$F$177,"Aplicable_desde_2023*")+COUNTIFS(Codificacion!$AL$2:$AL$177,1,Codificacion!$B$2:$B$177,"AML",Codificacion!$F$2:$F$177,"Aplicable_desde_2026-07*")+COUNTIFS(Codificacion!$AL$2:$AL$177,1,Codificacion!$B$2:$B$177,"AML",Codificacion!$F$2:$F$177,"Aplicable_desde_2026-08*")</f>
        <v>0</v>
      </c>
      <c r="E13" s="17" t="n">
        <f aca="false">COUNTIFS(Codificacion!$AL$2:$AL$177,1,Codificacion!$B$2:$B$177,"Directrices EBA",Codificacion!$F$2:$F$177,"Vigente")+COUNTIFS(Codificacion!$AL$2:$AL$177,1,Codificacion!$B$2:$B$177,"Directrices EBA",Codificacion!$F$2:$F$177,"Aplicable_desde_2023*")+COUNTIFS(Codificacion!$AL$2:$AL$177,1,Codificacion!$B$2:$B$177,"Directrices EBA",Codificacion!$F$2:$F$177,"Aplicable_desde_2026-07*")+COUNTIFS(Codificacion!$AL$2:$AL$177,1,Codificacion!$B$2:$B$177,"Directrices EBA",Codificacion!$F$2:$F$177,"Aplicable_desde_2026-08*")</f>
        <v>0</v>
      </c>
      <c r="F13" s="17" t="n">
        <f aca="false">COUNTIFS(Codificacion!$AL$2:$AL$177,1,Codificacion!$B$2:$B$177,"RGPD",Codificacion!$F$2:$F$177,"Vigente")+COUNTIFS(Codificacion!$AL$2:$AL$177,1,Codificacion!$B$2:$B$177,"RGPD",Codificacion!$F$2:$F$177,"Aplicable_desde_2023*")+COUNTIFS(Codificacion!$AL$2:$AL$177,1,Codificacion!$B$2:$B$177,"RGPD",Codificacion!$F$2:$F$177,"Aplicable_desde_2026-07*")+COUNTIFS(Codificacion!$AL$2:$AL$177,1,Codificacion!$B$2:$B$177,"RGPD",Codificacion!$F$2:$F$177,"Aplicable_desde_2026-08*")</f>
        <v>0</v>
      </c>
      <c r="G13" s="17" t="n">
        <f aca="false">COUNTIFS(Codificacion!$AL$2:$AL$177,1,Codificacion!$B$2:$B$177,"AI Act",Codificacion!$F$2:$F$177,"Vigente")+COUNTIFS(Codificacion!$AL$2:$AL$177,1,Codificacion!$B$2:$B$177,"AI Act",Codificacion!$F$2:$F$177,"Aplicable_desde_2023*")+COUNTIFS(Codificacion!$AL$2:$AL$177,1,Codificacion!$B$2:$B$177,"AI Act",Codificacion!$F$2:$F$177,"Aplicable_desde_2026-07*")+COUNTIFS(Codificacion!$AL$2:$AL$177,1,Codificacion!$B$2:$B$177,"AI Act",Codificacion!$F$2:$F$177,"Aplicable_desde_2026-08*")</f>
        <v>0</v>
      </c>
      <c r="H13" s="17" t="n">
        <f aca="false">COUNTIFS(Codificacion!$AL$2:$AL$177,1,Codificacion!$B$2:$B$177,"DORA",Codificacion!$F$2:$F$177,"Vigente")+COUNTIFS(Codificacion!$AL$2:$AL$177,1,Codificacion!$B$2:$B$177,"DORA",Codificacion!$F$2:$F$177,"Aplicable_desde_2023*")+COUNTIFS(Codificacion!$AL$2:$AL$177,1,Codificacion!$B$2:$B$177,"DORA",Codificacion!$F$2:$F$177,"Aplicable_desde_2026-07*")+COUNTIFS(Codificacion!$AL$2:$AL$177,1,Codificacion!$B$2:$B$177,"DORA",Codificacion!$F$2:$F$177,"Aplicable_desde_2026-08*")</f>
        <v>0</v>
      </c>
      <c r="I13" s="17" t="n">
        <f aca="false">COUNTIFS(Codificacion!$AL$2:$AL$177,1,Codificacion!$B$2:$B$177,"eIDAS 2",Codificacion!$F$2:$F$177,"Vigente")+COUNTIFS(Codificacion!$AL$2:$AL$177,1,Codificacion!$B$2:$B$177,"eIDAS 2",Codificacion!$F$2:$F$177,"Aplicable_desde_2023*")+COUNTIFS(Codificacion!$AL$2:$AL$177,1,Codificacion!$B$2:$B$177,"eIDAS 2",Codificacion!$F$2:$F$177,"Aplicable_desde_2026-07*")+COUNTIFS(Codificacion!$AL$2:$AL$177,1,Codificacion!$B$2:$B$177,"eIDAS 2",Codificacion!$F$2:$F$177,"Aplicable_desde_2026-08*")</f>
        <v>0</v>
      </c>
      <c r="J13" s="17" t="n">
        <f aca="false">COUNTIFS(Codificacion!$AL$2:$AL$177,1,Codificacion!$B$2:$B$177,"Accesibilidad",Codificacion!$F$2:$F$177,"Vigente")+COUNTIFS(Codificacion!$AL$2:$AL$177,1,Codificacion!$B$2:$B$177,"Accesibilidad",Codificacion!$F$2:$F$177,"Aplicable_desde_2023*")+COUNTIFS(Codificacion!$AL$2:$AL$177,1,Codificacion!$B$2:$B$177,"Accesibilidad",Codificacion!$F$2:$F$177,"Aplicable_desde_2026-07*")+COUNTIFS(Codificacion!$AL$2:$AL$177,1,Codificacion!$B$2:$B$177,"Accesibilidad",Codificacion!$F$2:$F$177,"Aplicable_desde_2026-08*")</f>
        <v>0</v>
      </c>
      <c r="K13" s="17" t="n">
        <f aca="false">COUNTIFS(Codificacion!$AL$2:$AL$177,1,Codificacion!$B$2:$B$177,"Atención al cliente ES",Codificacion!$F$2:$F$177,"Vigente")+COUNTIFS(Codificacion!$AL$2:$AL$177,1,Codificacion!$B$2:$B$177,"Atención al cliente ES",Codificacion!$F$2:$F$177,"Aplicable_desde_2023*")+COUNTIFS(Codificacion!$AL$2:$AL$177,1,Codificacion!$B$2:$B$177,"Atención al cliente ES",Codificacion!$F$2:$F$177,"Aplicable_desde_2026-07*")+COUNTIFS(Codificacion!$AL$2:$AL$177,1,Codificacion!$B$2:$B$177,"Atención al cliente ES",Codificacion!$F$2:$F$177,"Aplicable_desde_2026-08*")</f>
        <v>0</v>
      </c>
      <c r="L13" s="8" t="n">
        <f aca="false">SUM(C13:K13)</f>
        <v>0</v>
      </c>
      <c r="M13" s="8" t="n">
        <f aca="false">COUNTIF(C13:K13,"&gt;0")</f>
        <v>0</v>
      </c>
    </row>
    <row r="14" customFormat="false" ht="15" hidden="false" customHeight="true" outlineLevel="0" collapsed="false">
      <c r="A14" s="8" t="s">
        <v>190</v>
      </c>
      <c r="B14" s="10" t="s">
        <v>155</v>
      </c>
      <c r="C14" s="17" t="n">
        <f aca="false">COUNTIFS(Codificacion!$AM$2:$AM$177,1,Codificacion!$B$2:$B$177,"Cuenta básica",Codificacion!$F$2:$F$177,"Vigente")+COUNTIFS(Codificacion!$AM$2:$AM$177,1,Codificacion!$B$2:$B$177,"Cuenta básica",Codificacion!$F$2:$F$177,"Aplicable_desde_2023*")+COUNTIFS(Codificacion!$AM$2:$AM$177,1,Codificacion!$B$2:$B$177,"Cuenta básica",Codificacion!$F$2:$F$177,"Aplicable_desde_2026-07*")+COUNTIFS(Codificacion!$AM$2:$AM$177,1,Codificacion!$B$2:$B$177,"Cuenta básica",Codificacion!$F$2:$F$177,"Aplicable_desde_2026-08*")</f>
        <v>1</v>
      </c>
      <c r="D14" s="17" t="n">
        <f aca="false">COUNTIFS(Codificacion!$AM$2:$AM$177,1,Codificacion!$B$2:$B$177,"AML",Codificacion!$F$2:$F$177,"Vigente")+COUNTIFS(Codificacion!$AM$2:$AM$177,1,Codificacion!$B$2:$B$177,"AML",Codificacion!$F$2:$F$177,"Aplicable_desde_2023*")+COUNTIFS(Codificacion!$AM$2:$AM$177,1,Codificacion!$B$2:$B$177,"AML",Codificacion!$F$2:$F$177,"Aplicable_desde_2026-07*")+COUNTIFS(Codificacion!$AM$2:$AM$177,1,Codificacion!$B$2:$B$177,"AML",Codificacion!$F$2:$F$177,"Aplicable_desde_2026-08*")</f>
        <v>2</v>
      </c>
      <c r="E14" s="17" t="n">
        <f aca="false">COUNTIFS(Codificacion!$AM$2:$AM$177,1,Codificacion!$B$2:$B$177,"Directrices EBA",Codificacion!$F$2:$F$177,"Vigente")+COUNTIFS(Codificacion!$AM$2:$AM$177,1,Codificacion!$B$2:$B$177,"Directrices EBA",Codificacion!$F$2:$F$177,"Aplicable_desde_2023*")+COUNTIFS(Codificacion!$AM$2:$AM$177,1,Codificacion!$B$2:$B$177,"Directrices EBA",Codificacion!$F$2:$F$177,"Aplicable_desde_2026-07*")+COUNTIFS(Codificacion!$AM$2:$AM$177,1,Codificacion!$B$2:$B$177,"Directrices EBA",Codificacion!$F$2:$F$177,"Aplicable_desde_2026-08*")</f>
        <v>0</v>
      </c>
      <c r="F14" s="17" t="n">
        <f aca="false">COUNTIFS(Codificacion!$AM$2:$AM$177,1,Codificacion!$B$2:$B$177,"RGPD",Codificacion!$F$2:$F$177,"Vigente")+COUNTIFS(Codificacion!$AM$2:$AM$177,1,Codificacion!$B$2:$B$177,"RGPD",Codificacion!$F$2:$F$177,"Aplicable_desde_2023*")+COUNTIFS(Codificacion!$AM$2:$AM$177,1,Codificacion!$B$2:$B$177,"RGPD",Codificacion!$F$2:$F$177,"Aplicable_desde_2026-07*")+COUNTIFS(Codificacion!$AM$2:$AM$177,1,Codificacion!$B$2:$B$177,"RGPD",Codificacion!$F$2:$F$177,"Aplicable_desde_2026-08*")</f>
        <v>0</v>
      </c>
      <c r="G14" s="17" t="n">
        <f aca="false">COUNTIFS(Codificacion!$AM$2:$AM$177,1,Codificacion!$B$2:$B$177,"AI Act",Codificacion!$F$2:$F$177,"Vigente")+COUNTIFS(Codificacion!$AM$2:$AM$177,1,Codificacion!$B$2:$B$177,"AI Act",Codificacion!$F$2:$F$177,"Aplicable_desde_2023*")+COUNTIFS(Codificacion!$AM$2:$AM$177,1,Codificacion!$B$2:$B$177,"AI Act",Codificacion!$F$2:$F$177,"Aplicable_desde_2026-07*")+COUNTIFS(Codificacion!$AM$2:$AM$177,1,Codificacion!$B$2:$B$177,"AI Act",Codificacion!$F$2:$F$177,"Aplicable_desde_2026-08*")</f>
        <v>0</v>
      </c>
      <c r="H14" s="17" t="n">
        <f aca="false">COUNTIFS(Codificacion!$AM$2:$AM$177,1,Codificacion!$B$2:$B$177,"DORA",Codificacion!$F$2:$F$177,"Vigente")+COUNTIFS(Codificacion!$AM$2:$AM$177,1,Codificacion!$B$2:$B$177,"DORA",Codificacion!$F$2:$F$177,"Aplicable_desde_2023*")+COUNTIFS(Codificacion!$AM$2:$AM$177,1,Codificacion!$B$2:$B$177,"DORA",Codificacion!$F$2:$F$177,"Aplicable_desde_2026-07*")+COUNTIFS(Codificacion!$AM$2:$AM$177,1,Codificacion!$B$2:$B$177,"DORA",Codificacion!$F$2:$F$177,"Aplicable_desde_2026-08*")</f>
        <v>0</v>
      </c>
      <c r="I14" s="17" t="n">
        <f aca="false">COUNTIFS(Codificacion!$AM$2:$AM$177,1,Codificacion!$B$2:$B$177,"eIDAS 2",Codificacion!$F$2:$F$177,"Vigente")+COUNTIFS(Codificacion!$AM$2:$AM$177,1,Codificacion!$B$2:$B$177,"eIDAS 2",Codificacion!$F$2:$F$177,"Aplicable_desde_2023*")+COUNTIFS(Codificacion!$AM$2:$AM$177,1,Codificacion!$B$2:$B$177,"eIDAS 2",Codificacion!$F$2:$F$177,"Aplicable_desde_2026-07*")+COUNTIFS(Codificacion!$AM$2:$AM$177,1,Codificacion!$B$2:$B$177,"eIDAS 2",Codificacion!$F$2:$F$177,"Aplicable_desde_2026-08*")</f>
        <v>0</v>
      </c>
      <c r="J14" s="17" t="n">
        <f aca="false">COUNTIFS(Codificacion!$AM$2:$AM$177,1,Codificacion!$B$2:$B$177,"Accesibilidad",Codificacion!$F$2:$F$177,"Vigente")+COUNTIFS(Codificacion!$AM$2:$AM$177,1,Codificacion!$B$2:$B$177,"Accesibilidad",Codificacion!$F$2:$F$177,"Aplicable_desde_2023*")+COUNTIFS(Codificacion!$AM$2:$AM$177,1,Codificacion!$B$2:$B$177,"Accesibilidad",Codificacion!$F$2:$F$177,"Aplicable_desde_2026-07*")+COUNTIFS(Codificacion!$AM$2:$AM$177,1,Codificacion!$B$2:$B$177,"Accesibilidad",Codificacion!$F$2:$F$177,"Aplicable_desde_2026-08*")</f>
        <v>0</v>
      </c>
      <c r="K14" s="17" t="n">
        <f aca="false">COUNTIFS(Codificacion!$AM$2:$AM$177,1,Codificacion!$B$2:$B$177,"Atención al cliente ES",Codificacion!$F$2:$F$177,"Vigente")+COUNTIFS(Codificacion!$AM$2:$AM$177,1,Codificacion!$B$2:$B$177,"Atención al cliente ES",Codificacion!$F$2:$F$177,"Aplicable_desde_2023*")+COUNTIFS(Codificacion!$AM$2:$AM$177,1,Codificacion!$B$2:$B$177,"Atención al cliente ES",Codificacion!$F$2:$F$177,"Aplicable_desde_2026-07*")+COUNTIFS(Codificacion!$AM$2:$AM$177,1,Codificacion!$B$2:$B$177,"Atención al cliente ES",Codificacion!$F$2:$F$177,"Aplicable_desde_2026-08*")</f>
        <v>0</v>
      </c>
      <c r="L14" s="8" t="n">
        <f aca="false">SUM(C14:K14)</f>
        <v>3</v>
      </c>
      <c r="M14" s="8" t="n">
        <f aca="false">COUNTIF(C14:K14,"&gt;0")</f>
        <v>2</v>
      </c>
    </row>
    <row r="15" customFormat="false" ht="15" hidden="false" customHeight="true" outlineLevel="0" collapsed="false">
      <c r="A15" s="8" t="s">
        <v>191</v>
      </c>
      <c r="B15" s="10" t="s">
        <v>157</v>
      </c>
      <c r="C15" s="17" t="n">
        <f aca="false">COUNTIFS(Codificacion!$AN$2:$AN$177,1,Codificacion!$B$2:$B$177,"Cuenta básica",Codificacion!$F$2:$F$177,"Vigente")+COUNTIFS(Codificacion!$AN$2:$AN$177,1,Codificacion!$B$2:$B$177,"Cuenta básica",Codificacion!$F$2:$F$177,"Aplicable_desde_2023*")+COUNTIFS(Codificacion!$AN$2:$AN$177,1,Codificacion!$B$2:$B$177,"Cuenta básica",Codificacion!$F$2:$F$177,"Aplicable_desde_2026-07*")+COUNTIFS(Codificacion!$AN$2:$AN$177,1,Codificacion!$B$2:$B$177,"Cuenta básica",Codificacion!$F$2:$F$177,"Aplicable_desde_2026-08*")</f>
        <v>16</v>
      </c>
      <c r="D15" s="17" t="n">
        <f aca="false">COUNTIFS(Codificacion!$AN$2:$AN$177,1,Codificacion!$B$2:$B$177,"AML",Codificacion!$F$2:$F$177,"Vigente")+COUNTIFS(Codificacion!$AN$2:$AN$177,1,Codificacion!$B$2:$B$177,"AML",Codificacion!$F$2:$F$177,"Aplicable_desde_2023*")+COUNTIFS(Codificacion!$AN$2:$AN$177,1,Codificacion!$B$2:$B$177,"AML",Codificacion!$F$2:$F$177,"Aplicable_desde_2026-07*")+COUNTIFS(Codificacion!$AN$2:$AN$177,1,Codificacion!$B$2:$B$177,"AML",Codificacion!$F$2:$F$177,"Aplicable_desde_2026-08*")</f>
        <v>3</v>
      </c>
      <c r="E15" s="17" t="n">
        <f aca="false">COUNTIFS(Codificacion!$AN$2:$AN$177,1,Codificacion!$B$2:$B$177,"Directrices EBA",Codificacion!$F$2:$F$177,"Vigente")+COUNTIFS(Codificacion!$AN$2:$AN$177,1,Codificacion!$B$2:$B$177,"Directrices EBA",Codificacion!$F$2:$F$177,"Aplicable_desde_2023*")+COUNTIFS(Codificacion!$AN$2:$AN$177,1,Codificacion!$B$2:$B$177,"Directrices EBA",Codificacion!$F$2:$F$177,"Aplicable_desde_2026-07*")+COUNTIFS(Codificacion!$AN$2:$AN$177,1,Codificacion!$B$2:$B$177,"Directrices EBA",Codificacion!$F$2:$F$177,"Aplicable_desde_2026-08*")</f>
        <v>7</v>
      </c>
      <c r="F15" s="17" t="n">
        <f aca="false">COUNTIFS(Codificacion!$AN$2:$AN$177,1,Codificacion!$B$2:$B$177,"RGPD",Codificacion!$F$2:$F$177,"Vigente")+COUNTIFS(Codificacion!$AN$2:$AN$177,1,Codificacion!$B$2:$B$177,"RGPD",Codificacion!$F$2:$F$177,"Aplicable_desde_2023*")+COUNTIFS(Codificacion!$AN$2:$AN$177,1,Codificacion!$B$2:$B$177,"RGPD",Codificacion!$F$2:$F$177,"Aplicable_desde_2026-07*")+COUNTIFS(Codificacion!$AN$2:$AN$177,1,Codificacion!$B$2:$B$177,"RGPD",Codificacion!$F$2:$F$177,"Aplicable_desde_2026-08*")</f>
        <v>2</v>
      </c>
      <c r="G15" s="17" t="n">
        <f aca="false">COUNTIFS(Codificacion!$AN$2:$AN$177,1,Codificacion!$B$2:$B$177,"AI Act",Codificacion!$F$2:$F$177,"Vigente")+COUNTIFS(Codificacion!$AN$2:$AN$177,1,Codificacion!$B$2:$B$177,"AI Act",Codificacion!$F$2:$F$177,"Aplicable_desde_2023*")+COUNTIFS(Codificacion!$AN$2:$AN$177,1,Codificacion!$B$2:$B$177,"AI Act",Codificacion!$F$2:$F$177,"Aplicable_desde_2026-07*")+COUNTIFS(Codificacion!$AN$2:$AN$177,1,Codificacion!$B$2:$B$177,"AI Act",Codificacion!$F$2:$F$177,"Aplicable_desde_2026-08*")</f>
        <v>1</v>
      </c>
      <c r="H15" s="17" t="n">
        <f aca="false">COUNTIFS(Codificacion!$AN$2:$AN$177,1,Codificacion!$B$2:$B$177,"DORA",Codificacion!$F$2:$F$177,"Vigente")+COUNTIFS(Codificacion!$AN$2:$AN$177,1,Codificacion!$B$2:$B$177,"DORA",Codificacion!$F$2:$F$177,"Aplicable_desde_2023*")+COUNTIFS(Codificacion!$AN$2:$AN$177,1,Codificacion!$B$2:$B$177,"DORA",Codificacion!$F$2:$F$177,"Aplicable_desde_2026-07*")+COUNTIFS(Codificacion!$AN$2:$AN$177,1,Codificacion!$B$2:$B$177,"DORA",Codificacion!$F$2:$F$177,"Aplicable_desde_2026-08*")</f>
        <v>0</v>
      </c>
      <c r="I15" s="17" t="n">
        <f aca="false">COUNTIFS(Codificacion!$AN$2:$AN$177,1,Codificacion!$B$2:$B$177,"eIDAS 2",Codificacion!$F$2:$F$177,"Vigente")+COUNTIFS(Codificacion!$AN$2:$AN$177,1,Codificacion!$B$2:$B$177,"eIDAS 2",Codificacion!$F$2:$F$177,"Aplicable_desde_2023*")+COUNTIFS(Codificacion!$AN$2:$AN$177,1,Codificacion!$B$2:$B$177,"eIDAS 2",Codificacion!$F$2:$F$177,"Aplicable_desde_2026-07*")+COUNTIFS(Codificacion!$AN$2:$AN$177,1,Codificacion!$B$2:$B$177,"eIDAS 2",Codificacion!$F$2:$F$177,"Aplicable_desde_2026-08*")</f>
        <v>0</v>
      </c>
      <c r="J15" s="17" t="n">
        <f aca="false">COUNTIFS(Codificacion!$AN$2:$AN$177,1,Codificacion!$B$2:$B$177,"Accesibilidad",Codificacion!$F$2:$F$177,"Vigente")+COUNTIFS(Codificacion!$AN$2:$AN$177,1,Codificacion!$B$2:$B$177,"Accesibilidad",Codificacion!$F$2:$F$177,"Aplicable_desde_2023*")+COUNTIFS(Codificacion!$AN$2:$AN$177,1,Codificacion!$B$2:$B$177,"Accesibilidad",Codificacion!$F$2:$F$177,"Aplicable_desde_2026-07*")+COUNTIFS(Codificacion!$AN$2:$AN$177,1,Codificacion!$B$2:$B$177,"Accesibilidad",Codificacion!$F$2:$F$177,"Aplicable_desde_2026-08*")</f>
        <v>0</v>
      </c>
      <c r="K15" s="17" t="n">
        <f aca="false">COUNTIFS(Codificacion!$AN$2:$AN$177,1,Codificacion!$B$2:$B$177,"Atención al cliente ES",Codificacion!$F$2:$F$177,"Vigente")+COUNTIFS(Codificacion!$AN$2:$AN$177,1,Codificacion!$B$2:$B$177,"Atención al cliente ES",Codificacion!$F$2:$F$177,"Aplicable_desde_2023*")+COUNTIFS(Codificacion!$AN$2:$AN$177,1,Codificacion!$B$2:$B$177,"Atención al cliente ES",Codificacion!$F$2:$F$177,"Aplicable_desde_2026-07*")+COUNTIFS(Codificacion!$AN$2:$AN$177,1,Codificacion!$B$2:$B$177,"Atención al cliente ES",Codificacion!$F$2:$F$177,"Aplicable_desde_2026-08*")</f>
        <v>2</v>
      </c>
      <c r="L15" s="8" t="n">
        <f aca="false">SUM(C15:K15)</f>
        <v>31</v>
      </c>
      <c r="M15" s="8" t="n">
        <f aca="false">COUNTIF(C15:K15,"&gt;0")</f>
        <v>6</v>
      </c>
    </row>
    <row r="16" customFormat="false" ht="15" hidden="false" customHeight="true" outlineLevel="0" collapsed="false">
      <c r="A16" s="8" t="s">
        <v>192</v>
      </c>
      <c r="B16" s="10" t="s">
        <v>159</v>
      </c>
      <c r="C16" s="17" t="n">
        <f aca="false">COUNTIFS(Codificacion!$AO$2:$AO$177,1,Codificacion!$B$2:$B$177,"Cuenta básica",Codificacion!$F$2:$F$177,"Vigente")+COUNTIFS(Codificacion!$AO$2:$AO$177,1,Codificacion!$B$2:$B$177,"Cuenta básica",Codificacion!$F$2:$F$177,"Aplicable_desde_2023*")+COUNTIFS(Codificacion!$AO$2:$AO$177,1,Codificacion!$B$2:$B$177,"Cuenta básica",Codificacion!$F$2:$F$177,"Aplicable_desde_2026-07*")+COUNTIFS(Codificacion!$AO$2:$AO$177,1,Codificacion!$B$2:$B$177,"Cuenta básica",Codificacion!$F$2:$F$177,"Aplicable_desde_2026-08*")</f>
        <v>6</v>
      </c>
      <c r="D16" s="17" t="n">
        <f aca="false">COUNTIFS(Codificacion!$AO$2:$AO$177,1,Codificacion!$B$2:$B$177,"AML",Codificacion!$F$2:$F$177,"Vigente")+COUNTIFS(Codificacion!$AO$2:$AO$177,1,Codificacion!$B$2:$B$177,"AML",Codificacion!$F$2:$F$177,"Aplicable_desde_2023*")+COUNTIFS(Codificacion!$AO$2:$AO$177,1,Codificacion!$B$2:$B$177,"AML",Codificacion!$F$2:$F$177,"Aplicable_desde_2026-07*")+COUNTIFS(Codificacion!$AO$2:$AO$177,1,Codificacion!$B$2:$B$177,"AML",Codificacion!$F$2:$F$177,"Aplicable_desde_2026-08*")</f>
        <v>3</v>
      </c>
      <c r="E16" s="17" t="n">
        <f aca="false">COUNTIFS(Codificacion!$AO$2:$AO$177,1,Codificacion!$B$2:$B$177,"Directrices EBA",Codificacion!$F$2:$F$177,"Vigente")+COUNTIFS(Codificacion!$AO$2:$AO$177,1,Codificacion!$B$2:$B$177,"Directrices EBA",Codificacion!$F$2:$F$177,"Aplicable_desde_2023*")+COUNTIFS(Codificacion!$AO$2:$AO$177,1,Codificacion!$B$2:$B$177,"Directrices EBA",Codificacion!$F$2:$F$177,"Aplicable_desde_2026-07*")+COUNTIFS(Codificacion!$AO$2:$AO$177,1,Codificacion!$B$2:$B$177,"Directrices EBA",Codificacion!$F$2:$F$177,"Aplicable_desde_2026-08*")</f>
        <v>6</v>
      </c>
      <c r="F16" s="17" t="n">
        <f aca="false">COUNTIFS(Codificacion!$AO$2:$AO$177,1,Codificacion!$B$2:$B$177,"RGPD",Codificacion!$F$2:$F$177,"Vigente")+COUNTIFS(Codificacion!$AO$2:$AO$177,1,Codificacion!$B$2:$B$177,"RGPD",Codificacion!$F$2:$F$177,"Aplicable_desde_2023*")+COUNTIFS(Codificacion!$AO$2:$AO$177,1,Codificacion!$B$2:$B$177,"RGPD",Codificacion!$F$2:$F$177,"Aplicable_desde_2026-07*")+COUNTIFS(Codificacion!$AO$2:$AO$177,1,Codificacion!$B$2:$B$177,"RGPD",Codificacion!$F$2:$F$177,"Aplicable_desde_2026-08*")</f>
        <v>0</v>
      </c>
      <c r="G16" s="17" t="n">
        <f aca="false">COUNTIFS(Codificacion!$AO$2:$AO$177,1,Codificacion!$B$2:$B$177,"AI Act",Codificacion!$F$2:$F$177,"Vigente")+COUNTIFS(Codificacion!$AO$2:$AO$177,1,Codificacion!$B$2:$B$177,"AI Act",Codificacion!$F$2:$F$177,"Aplicable_desde_2023*")+COUNTIFS(Codificacion!$AO$2:$AO$177,1,Codificacion!$B$2:$B$177,"AI Act",Codificacion!$F$2:$F$177,"Aplicable_desde_2026-07*")+COUNTIFS(Codificacion!$AO$2:$AO$177,1,Codificacion!$B$2:$B$177,"AI Act",Codificacion!$F$2:$F$177,"Aplicable_desde_2026-08*")</f>
        <v>0</v>
      </c>
      <c r="H16" s="17" t="n">
        <f aca="false">COUNTIFS(Codificacion!$AO$2:$AO$177,1,Codificacion!$B$2:$B$177,"DORA",Codificacion!$F$2:$F$177,"Vigente")+COUNTIFS(Codificacion!$AO$2:$AO$177,1,Codificacion!$B$2:$B$177,"DORA",Codificacion!$F$2:$F$177,"Aplicable_desde_2023*")+COUNTIFS(Codificacion!$AO$2:$AO$177,1,Codificacion!$B$2:$B$177,"DORA",Codificacion!$F$2:$F$177,"Aplicable_desde_2026-07*")+COUNTIFS(Codificacion!$AO$2:$AO$177,1,Codificacion!$B$2:$B$177,"DORA",Codificacion!$F$2:$F$177,"Aplicable_desde_2026-08*")</f>
        <v>0</v>
      </c>
      <c r="I16" s="17" t="n">
        <f aca="false">COUNTIFS(Codificacion!$AO$2:$AO$177,1,Codificacion!$B$2:$B$177,"eIDAS 2",Codificacion!$F$2:$F$177,"Vigente")+COUNTIFS(Codificacion!$AO$2:$AO$177,1,Codificacion!$B$2:$B$177,"eIDAS 2",Codificacion!$F$2:$F$177,"Aplicable_desde_2023*")+COUNTIFS(Codificacion!$AO$2:$AO$177,1,Codificacion!$B$2:$B$177,"eIDAS 2",Codificacion!$F$2:$F$177,"Aplicable_desde_2026-07*")+COUNTIFS(Codificacion!$AO$2:$AO$177,1,Codificacion!$B$2:$B$177,"eIDAS 2",Codificacion!$F$2:$F$177,"Aplicable_desde_2026-08*")</f>
        <v>0</v>
      </c>
      <c r="J16" s="17" t="n">
        <f aca="false">COUNTIFS(Codificacion!$AO$2:$AO$177,1,Codificacion!$B$2:$B$177,"Accesibilidad",Codificacion!$F$2:$F$177,"Vigente")+COUNTIFS(Codificacion!$AO$2:$AO$177,1,Codificacion!$B$2:$B$177,"Accesibilidad",Codificacion!$F$2:$F$177,"Aplicable_desde_2023*")+COUNTIFS(Codificacion!$AO$2:$AO$177,1,Codificacion!$B$2:$B$177,"Accesibilidad",Codificacion!$F$2:$F$177,"Aplicable_desde_2026-07*")+COUNTIFS(Codificacion!$AO$2:$AO$177,1,Codificacion!$B$2:$B$177,"Accesibilidad",Codificacion!$F$2:$F$177,"Aplicable_desde_2026-08*")</f>
        <v>0</v>
      </c>
      <c r="K16" s="17" t="n">
        <f aca="false">COUNTIFS(Codificacion!$AO$2:$AO$177,1,Codificacion!$B$2:$B$177,"Atención al cliente ES",Codificacion!$F$2:$F$177,"Vigente")+COUNTIFS(Codificacion!$AO$2:$AO$177,1,Codificacion!$B$2:$B$177,"Atención al cliente ES",Codificacion!$F$2:$F$177,"Aplicable_desde_2023*")+COUNTIFS(Codificacion!$AO$2:$AO$177,1,Codificacion!$B$2:$B$177,"Atención al cliente ES",Codificacion!$F$2:$F$177,"Aplicable_desde_2026-07*")+COUNTIFS(Codificacion!$AO$2:$AO$177,1,Codificacion!$B$2:$B$177,"Atención al cliente ES",Codificacion!$F$2:$F$177,"Aplicable_desde_2026-08*")</f>
        <v>2</v>
      </c>
      <c r="L16" s="8" t="n">
        <f aca="false">SUM(C16:K16)</f>
        <v>17</v>
      </c>
      <c r="M16" s="8" t="n">
        <f aca="false">COUNTIF(C16:K16,"&gt;0")</f>
        <v>4</v>
      </c>
    </row>
    <row r="18" customFormat="false" ht="15" hidden="false" customHeight="true" outlineLevel="0" collapsed="false">
      <c r="A18" s="8" t="s">
        <v>1062</v>
      </c>
    </row>
    <row r="19" customFormat="false" ht="31.5" hidden="false" customHeight="true" outlineLevel="0" collapsed="false">
      <c r="A19" s="23" t="s">
        <v>136</v>
      </c>
      <c r="B19" s="23" t="s">
        <v>1055</v>
      </c>
      <c r="C19" s="23" t="s">
        <v>194</v>
      </c>
      <c r="D19" s="23" t="s">
        <v>389</v>
      </c>
      <c r="E19" s="23" t="s">
        <v>530</v>
      </c>
      <c r="F19" s="23" t="s">
        <v>758</v>
      </c>
      <c r="G19" s="23" t="s">
        <v>816</v>
      </c>
      <c r="H19" s="23" t="s">
        <v>896</v>
      </c>
      <c r="I19" s="23" t="s">
        <v>939</v>
      </c>
      <c r="J19" s="23" t="s">
        <v>952</v>
      </c>
      <c r="K19" s="23" t="s">
        <v>315</v>
      </c>
      <c r="L19" s="23" t="s">
        <v>1032</v>
      </c>
      <c r="M19" s="23" t="s">
        <v>1056</v>
      </c>
    </row>
    <row r="20" customFormat="false" ht="15" hidden="false" customHeight="true" outlineLevel="0" collapsed="false">
      <c r="A20" s="8" t="s">
        <v>182</v>
      </c>
      <c r="B20" s="10" t="s">
        <v>140</v>
      </c>
      <c r="C20" s="17" t="n">
        <f aca="false">COUNTIFS(Codificacion!$AE$2:$AE$177,1,Codificacion!$B$2:$B$177,"Cuenta básica")</f>
        <v>2</v>
      </c>
      <c r="D20" s="17" t="n">
        <f aca="false">COUNTIFS(Codificacion!$AE$2:$AE$177,1,Codificacion!$B$2:$B$177,"AML")</f>
        <v>8</v>
      </c>
      <c r="E20" s="17" t="n">
        <f aca="false">COUNTIFS(Codificacion!$AE$2:$AE$177,1,Codificacion!$B$2:$B$177,"Directrices EBA")</f>
        <v>3</v>
      </c>
      <c r="F20" s="17" t="n">
        <f aca="false">COUNTIFS(Codificacion!$AE$2:$AE$177,1,Codificacion!$B$2:$B$177,"RGPD")</f>
        <v>3</v>
      </c>
      <c r="G20" s="17" t="n">
        <f aca="false">COUNTIFS(Codificacion!$AE$2:$AE$177,1,Codificacion!$B$2:$B$177,"AI Act")</f>
        <v>1</v>
      </c>
      <c r="H20" s="17" t="n">
        <f aca="false">COUNTIFS(Codificacion!$AE$2:$AE$177,1,Codificacion!$B$2:$B$177,"DORA")</f>
        <v>0</v>
      </c>
      <c r="I20" s="17" t="n">
        <f aca="false">COUNTIFS(Codificacion!$AE$2:$AE$177,1,Codificacion!$B$2:$B$177,"eIDAS 2")</f>
        <v>0</v>
      </c>
      <c r="J20" s="17" t="n">
        <f aca="false">COUNTIFS(Codificacion!$AE$2:$AE$177,1,Codificacion!$B$2:$B$177,"Accesibilidad")</f>
        <v>2</v>
      </c>
      <c r="K20" s="17" t="n">
        <f aca="false">COUNTIFS(Codificacion!$AE$2:$AE$177,1,Codificacion!$B$2:$B$177,"Atención al cliente ES")</f>
        <v>2</v>
      </c>
      <c r="L20" s="8" t="n">
        <f aca="false">SUM(C20:K20)</f>
        <v>21</v>
      </c>
      <c r="M20" s="8" t="n">
        <f aca="false">COUNTIF(C20:K20,"&gt;0")</f>
        <v>7</v>
      </c>
    </row>
    <row r="21" customFormat="false" ht="15" hidden="false" customHeight="true" outlineLevel="0" collapsed="false">
      <c r="A21" s="8" t="s">
        <v>183</v>
      </c>
      <c r="B21" s="10" t="s">
        <v>1057</v>
      </c>
      <c r="C21" s="17" t="n">
        <f aca="false">COUNTIFS(Codificacion!$AF$2:$AF$177,1,Codificacion!$B$2:$B$177,"Cuenta básica")</f>
        <v>0</v>
      </c>
      <c r="D21" s="17" t="n">
        <f aca="false">COUNTIFS(Codificacion!$AF$2:$AF$177,1,Codificacion!$B$2:$B$177,"AML")</f>
        <v>2</v>
      </c>
      <c r="E21" s="17" t="n">
        <f aca="false">COUNTIFS(Codificacion!$AF$2:$AF$177,1,Codificacion!$B$2:$B$177,"Directrices EBA")</f>
        <v>0</v>
      </c>
      <c r="F21" s="17" t="n">
        <f aca="false">COUNTIFS(Codificacion!$AF$2:$AF$177,1,Codificacion!$B$2:$B$177,"RGPD")</f>
        <v>0</v>
      </c>
      <c r="G21" s="17" t="n">
        <f aca="false">COUNTIFS(Codificacion!$AF$2:$AF$177,1,Codificacion!$B$2:$B$177,"AI Act")</f>
        <v>0</v>
      </c>
      <c r="H21" s="17" t="n">
        <f aca="false">COUNTIFS(Codificacion!$AF$2:$AF$177,1,Codificacion!$B$2:$B$177,"DORA")</f>
        <v>0</v>
      </c>
      <c r="I21" s="17" t="n">
        <f aca="false">COUNTIFS(Codificacion!$AF$2:$AF$177,1,Codificacion!$B$2:$B$177,"eIDAS 2")</f>
        <v>0</v>
      </c>
      <c r="J21" s="17" t="n">
        <f aca="false">COUNTIFS(Codificacion!$AF$2:$AF$177,1,Codificacion!$B$2:$B$177,"Accesibilidad")</f>
        <v>1</v>
      </c>
      <c r="K21" s="17" t="n">
        <f aca="false">COUNTIFS(Codificacion!$AF$2:$AF$177,1,Codificacion!$B$2:$B$177,"Atención al cliente ES")</f>
        <v>0</v>
      </c>
      <c r="L21" s="8" t="n">
        <f aca="false">SUM(C21:K21)</f>
        <v>3</v>
      </c>
      <c r="M21" s="8" t="n">
        <f aca="false">COUNTIF(C21:K21,"&gt;0")</f>
        <v>2</v>
      </c>
    </row>
    <row r="22" customFormat="false" ht="15" hidden="false" customHeight="true" outlineLevel="0" collapsed="false">
      <c r="A22" s="8" t="s">
        <v>184</v>
      </c>
      <c r="B22" s="10" t="s">
        <v>1058</v>
      </c>
      <c r="C22" s="17" t="n">
        <f aca="false">COUNTIFS(Codificacion!$AG$2:$AG$177,1,Codificacion!$B$2:$B$177,"Cuenta básica")</f>
        <v>0</v>
      </c>
      <c r="D22" s="17" t="n">
        <f aca="false">COUNTIFS(Codificacion!$AG$2:$AG$177,1,Codificacion!$B$2:$B$177,"AML")</f>
        <v>1</v>
      </c>
      <c r="E22" s="17" t="n">
        <f aca="false">COUNTIFS(Codificacion!$AG$2:$AG$177,1,Codificacion!$B$2:$B$177,"Directrices EBA")</f>
        <v>3</v>
      </c>
      <c r="F22" s="17" t="n">
        <f aca="false">COUNTIFS(Codificacion!$AG$2:$AG$177,1,Codificacion!$B$2:$B$177,"RGPD")</f>
        <v>0</v>
      </c>
      <c r="G22" s="17" t="n">
        <f aca="false">COUNTIFS(Codificacion!$AG$2:$AG$177,1,Codificacion!$B$2:$B$177,"AI Act")</f>
        <v>0</v>
      </c>
      <c r="H22" s="17" t="n">
        <f aca="false">COUNTIFS(Codificacion!$AG$2:$AG$177,1,Codificacion!$B$2:$B$177,"DORA")</f>
        <v>8</v>
      </c>
      <c r="I22" s="17" t="n">
        <f aca="false">COUNTIFS(Codificacion!$AG$2:$AG$177,1,Codificacion!$B$2:$B$177,"eIDAS 2")</f>
        <v>0</v>
      </c>
      <c r="J22" s="17" t="n">
        <f aca="false">COUNTIFS(Codificacion!$AG$2:$AG$177,1,Codificacion!$B$2:$B$177,"Accesibilidad")</f>
        <v>0</v>
      </c>
      <c r="K22" s="17" t="n">
        <f aca="false">COUNTIFS(Codificacion!$AG$2:$AG$177,1,Codificacion!$B$2:$B$177,"Atención al cliente ES")</f>
        <v>0</v>
      </c>
      <c r="L22" s="8" t="n">
        <f aca="false">SUM(C22:K22)</f>
        <v>12</v>
      </c>
      <c r="M22" s="8" t="n">
        <f aca="false">COUNTIF(C22:K22,"&gt;0")</f>
        <v>3</v>
      </c>
    </row>
    <row r="23" customFormat="false" ht="15" hidden="false" customHeight="true" outlineLevel="0" collapsed="false">
      <c r="A23" s="8" t="s">
        <v>185</v>
      </c>
      <c r="B23" s="10" t="s">
        <v>147</v>
      </c>
      <c r="C23" s="17" t="n">
        <f aca="false">COUNTIFS(Codificacion!$AH$2:$AH$177,1,Codificacion!$B$2:$B$177,"Cuenta básica")</f>
        <v>0</v>
      </c>
      <c r="D23" s="17" t="n">
        <f aca="false">COUNTIFS(Codificacion!$AH$2:$AH$177,1,Codificacion!$B$2:$B$177,"AML")</f>
        <v>8</v>
      </c>
      <c r="E23" s="17" t="n">
        <f aca="false">COUNTIFS(Codificacion!$AH$2:$AH$177,1,Codificacion!$B$2:$B$177,"Directrices EBA")</f>
        <v>10</v>
      </c>
      <c r="F23" s="17" t="n">
        <f aca="false">COUNTIFS(Codificacion!$AH$2:$AH$177,1,Codificacion!$B$2:$B$177,"RGPD")</f>
        <v>0</v>
      </c>
      <c r="G23" s="17" t="n">
        <f aca="false">COUNTIFS(Codificacion!$AH$2:$AH$177,1,Codificacion!$B$2:$B$177,"AI Act")</f>
        <v>0</v>
      </c>
      <c r="H23" s="17" t="n">
        <f aca="false">COUNTIFS(Codificacion!$AH$2:$AH$177,1,Codificacion!$B$2:$B$177,"DORA")</f>
        <v>0</v>
      </c>
      <c r="I23" s="17" t="n">
        <f aca="false">COUNTIFS(Codificacion!$AH$2:$AH$177,1,Codificacion!$B$2:$B$177,"eIDAS 2")</f>
        <v>0</v>
      </c>
      <c r="J23" s="17" t="n">
        <f aca="false">COUNTIFS(Codificacion!$AH$2:$AH$177,1,Codificacion!$B$2:$B$177,"Accesibilidad")</f>
        <v>0</v>
      </c>
      <c r="K23" s="17" t="n">
        <f aca="false">COUNTIFS(Codificacion!$AH$2:$AH$177,1,Codificacion!$B$2:$B$177,"Atención al cliente ES")</f>
        <v>0</v>
      </c>
      <c r="L23" s="8" t="n">
        <f aca="false">SUM(C23:K23)</f>
        <v>18</v>
      </c>
      <c r="M23" s="8" t="n">
        <f aca="false">COUNTIF(C23:K23,"&gt;0")</f>
        <v>2</v>
      </c>
    </row>
    <row r="24" customFormat="false" ht="15" hidden="false" customHeight="true" outlineLevel="0" collapsed="false">
      <c r="A24" s="8" t="s">
        <v>186</v>
      </c>
      <c r="B24" s="10" t="s">
        <v>149</v>
      </c>
      <c r="C24" s="17" t="n">
        <f aca="false">COUNTIFS(Codificacion!$AI$2:$AI$177,1,Codificacion!$B$2:$B$177,"Cuenta básica")</f>
        <v>3</v>
      </c>
      <c r="D24" s="17" t="n">
        <f aca="false">COUNTIFS(Codificacion!$AI$2:$AI$177,1,Codificacion!$B$2:$B$177,"AML")</f>
        <v>20</v>
      </c>
      <c r="E24" s="17" t="n">
        <f aca="false">COUNTIFS(Codificacion!$AI$2:$AI$177,1,Codificacion!$B$2:$B$177,"Directrices EBA")</f>
        <v>6</v>
      </c>
      <c r="F24" s="17" t="n">
        <f aca="false">COUNTIFS(Codificacion!$AI$2:$AI$177,1,Codificacion!$B$2:$B$177,"RGPD")</f>
        <v>0</v>
      </c>
      <c r="G24" s="17" t="n">
        <f aca="false">COUNTIFS(Codificacion!$AI$2:$AI$177,1,Codificacion!$B$2:$B$177,"AI Act")</f>
        <v>0</v>
      </c>
      <c r="H24" s="17" t="n">
        <f aca="false">COUNTIFS(Codificacion!$AI$2:$AI$177,1,Codificacion!$B$2:$B$177,"DORA")</f>
        <v>0</v>
      </c>
      <c r="I24" s="17" t="n">
        <f aca="false">COUNTIFS(Codificacion!$AI$2:$AI$177,1,Codificacion!$B$2:$B$177,"eIDAS 2")</f>
        <v>0</v>
      </c>
      <c r="J24" s="17" t="n">
        <f aca="false">COUNTIFS(Codificacion!$AI$2:$AI$177,1,Codificacion!$B$2:$B$177,"Accesibilidad")</f>
        <v>0</v>
      </c>
      <c r="K24" s="17" t="n">
        <f aca="false">COUNTIFS(Codificacion!$AI$2:$AI$177,1,Codificacion!$B$2:$B$177,"Atención al cliente ES")</f>
        <v>0</v>
      </c>
      <c r="L24" s="8" t="n">
        <f aca="false">SUM(C24:K24)</f>
        <v>29</v>
      </c>
      <c r="M24" s="8" t="n">
        <f aca="false">COUNTIF(C24:K24,"&gt;0")</f>
        <v>3</v>
      </c>
    </row>
    <row r="25" customFormat="false" ht="15" hidden="false" customHeight="true" outlineLevel="0" collapsed="false">
      <c r="A25" s="8" t="s">
        <v>187</v>
      </c>
      <c r="B25" s="10" t="s">
        <v>1059</v>
      </c>
      <c r="C25" s="17" t="n">
        <f aca="false">COUNTIFS(Codificacion!$AJ$2:$AJ$177,1,Codificacion!$B$2:$B$177,"Cuenta básica")</f>
        <v>0</v>
      </c>
      <c r="D25" s="17" t="n">
        <f aca="false">COUNTIFS(Codificacion!$AJ$2:$AJ$177,1,Codificacion!$B$2:$B$177,"AML")</f>
        <v>13</v>
      </c>
      <c r="E25" s="17" t="n">
        <f aca="false">COUNTIFS(Codificacion!$AJ$2:$AJ$177,1,Codificacion!$B$2:$B$177,"Directrices EBA")</f>
        <v>12</v>
      </c>
      <c r="F25" s="17" t="n">
        <f aca="false">COUNTIFS(Codificacion!$AJ$2:$AJ$177,1,Codificacion!$B$2:$B$177,"RGPD")</f>
        <v>1</v>
      </c>
      <c r="G25" s="17" t="n">
        <f aca="false">COUNTIFS(Codificacion!$AJ$2:$AJ$177,1,Codificacion!$B$2:$B$177,"AI Act")</f>
        <v>1</v>
      </c>
      <c r="H25" s="17" t="n">
        <f aca="false">COUNTIFS(Codificacion!$AJ$2:$AJ$177,1,Codificacion!$B$2:$B$177,"DORA")</f>
        <v>0</v>
      </c>
      <c r="I25" s="17" t="n">
        <f aca="false">COUNTIFS(Codificacion!$AJ$2:$AJ$177,1,Codificacion!$B$2:$B$177,"eIDAS 2")</f>
        <v>0</v>
      </c>
      <c r="J25" s="17" t="n">
        <f aca="false">COUNTIFS(Codificacion!$AJ$2:$AJ$177,1,Codificacion!$B$2:$B$177,"Accesibilidad")</f>
        <v>0</v>
      </c>
      <c r="K25" s="17" t="n">
        <f aca="false">COUNTIFS(Codificacion!$AJ$2:$AJ$177,1,Codificacion!$B$2:$B$177,"Atención al cliente ES")</f>
        <v>0</v>
      </c>
      <c r="L25" s="8" t="n">
        <f aca="false">SUM(C25:K25)</f>
        <v>27</v>
      </c>
      <c r="M25" s="8" t="n">
        <f aca="false">COUNTIF(C25:K25,"&gt;0")</f>
        <v>4</v>
      </c>
    </row>
    <row r="26" customFormat="false" ht="15" hidden="false" customHeight="true" outlineLevel="0" collapsed="false">
      <c r="A26" s="8" t="s">
        <v>188</v>
      </c>
      <c r="B26" s="10" t="s">
        <v>1060</v>
      </c>
      <c r="C26" s="17" t="n">
        <f aca="false">COUNTIFS(Codificacion!$AK$2:$AK$177,1,Codificacion!$B$2:$B$177,"Cuenta básica")</f>
        <v>2</v>
      </c>
      <c r="D26" s="17" t="n">
        <f aca="false">COUNTIFS(Codificacion!$AK$2:$AK$177,1,Codificacion!$B$2:$B$177,"AML")</f>
        <v>4</v>
      </c>
      <c r="E26" s="17" t="n">
        <f aca="false">COUNTIFS(Codificacion!$AK$2:$AK$177,1,Codificacion!$B$2:$B$177,"Directrices EBA")</f>
        <v>0</v>
      </c>
      <c r="F26" s="17" t="n">
        <f aca="false">COUNTIFS(Codificacion!$AK$2:$AK$177,1,Codificacion!$B$2:$B$177,"RGPD")</f>
        <v>0</v>
      </c>
      <c r="G26" s="17" t="n">
        <f aca="false">COUNTIFS(Codificacion!$AK$2:$AK$177,1,Codificacion!$B$2:$B$177,"AI Act")</f>
        <v>0</v>
      </c>
      <c r="H26" s="17" t="n">
        <f aca="false">COUNTIFS(Codificacion!$AK$2:$AK$177,1,Codificacion!$B$2:$B$177,"DORA")</f>
        <v>0</v>
      </c>
      <c r="I26" s="17" t="n">
        <f aca="false">COUNTIFS(Codificacion!$AK$2:$AK$177,1,Codificacion!$B$2:$B$177,"eIDAS 2")</f>
        <v>0</v>
      </c>
      <c r="J26" s="17" t="n">
        <f aca="false">COUNTIFS(Codificacion!$AK$2:$AK$177,1,Codificacion!$B$2:$B$177,"Accesibilidad")</f>
        <v>0</v>
      </c>
      <c r="K26" s="17" t="n">
        <f aca="false">COUNTIFS(Codificacion!$AK$2:$AK$177,1,Codificacion!$B$2:$B$177,"Atención al cliente ES")</f>
        <v>0</v>
      </c>
      <c r="L26" s="8" t="n">
        <f aca="false">SUM(C26:K26)</f>
        <v>6</v>
      </c>
      <c r="M26" s="8" t="n">
        <f aca="false">COUNTIF(C26:K26,"&gt;0")</f>
        <v>2</v>
      </c>
    </row>
    <row r="27" customFormat="false" ht="15" hidden="false" customHeight="true" outlineLevel="0" collapsed="false">
      <c r="A27" s="8" t="s">
        <v>189</v>
      </c>
      <c r="B27" s="10" t="s">
        <v>1061</v>
      </c>
      <c r="C27" s="17" t="n">
        <f aca="false">COUNTIFS(Codificacion!$AL$2:$AL$177,1,Codificacion!$B$2:$B$177,"Cuenta básica")</f>
        <v>0</v>
      </c>
      <c r="D27" s="17" t="n">
        <f aca="false">COUNTIFS(Codificacion!$AL$2:$AL$177,1,Codificacion!$B$2:$B$177,"AML")</f>
        <v>0</v>
      </c>
      <c r="E27" s="17" t="n">
        <f aca="false">COUNTIFS(Codificacion!$AL$2:$AL$177,1,Codificacion!$B$2:$B$177,"Directrices EBA")</f>
        <v>0</v>
      </c>
      <c r="F27" s="17" t="n">
        <f aca="false">COUNTIFS(Codificacion!$AL$2:$AL$177,1,Codificacion!$B$2:$B$177,"RGPD")</f>
        <v>0</v>
      </c>
      <c r="G27" s="17" t="n">
        <f aca="false">COUNTIFS(Codificacion!$AL$2:$AL$177,1,Codificacion!$B$2:$B$177,"AI Act")</f>
        <v>0</v>
      </c>
      <c r="H27" s="17" t="n">
        <f aca="false">COUNTIFS(Codificacion!$AL$2:$AL$177,1,Codificacion!$B$2:$B$177,"DORA")</f>
        <v>0</v>
      </c>
      <c r="I27" s="17" t="n">
        <f aca="false">COUNTIFS(Codificacion!$AL$2:$AL$177,1,Codificacion!$B$2:$B$177,"eIDAS 2")</f>
        <v>0</v>
      </c>
      <c r="J27" s="17" t="n">
        <f aca="false">COUNTIFS(Codificacion!$AL$2:$AL$177,1,Codificacion!$B$2:$B$177,"Accesibilidad")</f>
        <v>0</v>
      </c>
      <c r="K27" s="17" t="n">
        <f aca="false">COUNTIFS(Codificacion!$AL$2:$AL$177,1,Codificacion!$B$2:$B$177,"Atención al cliente ES")</f>
        <v>0</v>
      </c>
      <c r="L27" s="8" t="n">
        <f aca="false">SUM(C27:K27)</f>
        <v>0</v>
      </c>
      <c r="M27" s="8" t="n">
        <f aca="false">COUNTIF(C27:K27,"&gt;0")</f>
        <v>0</v>
      </c>
    </row>
    <row r="28" customFormat="false" ht="15" hidden="false" customHeight="true" outlineLevel="0" collapsed="false">
      <c r="A28" s="8" t="s">
        <v>190</v>
      </c>
      <c r="B28" s="10" t="s">
        <v>155</v>
      </c>
      <c r="C28" s="17" t="n">
        <f aca="false">COUNTIFS(Codificacion!$AM$2:$AM$177,1,Codificacion!$B$2:$B$177,"Cuenta básica")</f>
        <v>1</v>
      </c>
      <c r="D28" s="17" t="n">
        <f aca="false">COUNTIFS(Codificacion!$AM$2:$AM$177,1,Codificacion!$B$2:$B$177,"AML")</f>
        <v>7</v>
      </c>
      <c r="E28" s="17" t="n">
        <f aca="false">COUNTIFS(Codificacion!$AM$2:$AM$177,1,Codificacion!$B$2:$B$177,"Directrices EBA")</f>
        <v>0</v>
      </c>
      <c r="F28" s="17" t="n">
        <f aca="false">COUNTIFS(Codificacion!$AM$2:$AM$177,1,Codificacion!$B$2:$B$177,"RGPD")</f>
        <v>0</v>
      </c>
      <c r="G28" s="17" t="n">
        <f aca="false">COUNTIFS(Codificacion!$AM$2:$AM$177,1,Codificacion!$B$2:$B$177,"AI Act")</f>
        <v>0</v>
      </c>
      <c r="H28" s="17" t="n">
        <f aca="false">COUNTIFS(Codificacion!$AM$2:$AM$177,1,Codificacion!$B$2:$B$177,"DORA")</f>
        <v>0</v>
      </c>
      <c r="I28" s="17" t="n">
        <f aca="false">COUNTIFS(Codificacion!$AM$2:$AM$177,1,Codificacion!$B$2:$B$177,"eIDAS 2")</f>
        <v>0</v>
      </c>
      <c r="J28" s="17" t="n">
        <f aca="false">COUNTIFS(Codificacion!$AM$2:$AM$177,1,Codificacion!$B$2:$B$177,"Accesibilidad")</f>
        <v>0</v>
      </c>
      <c r="K28" s="17" t="n">
        <f aca="false">COUNTIFS(Codificacion!$AM$2:$AM$177,1,Codificacion!$B$2:$B$177,"Atención al cliente ES")</f>
        <v>0</v>
      </c>
      <c r="L28" s="8" t="n">
        <f aca="false">SUM(C28:K28)</f>
        <v>8</v>
      </c>
      <c r="M28" s="8" t="n">
        <f aca="false">COUNTIF(C28:K28,"&gt;0")</f>
        <v>2</v>
      </c>
    </row>
    <row r="29" customFormat="false" ht="15" hidden="false" customHeight="true" outlineLevel="0" collapsed="false">
      <c r="A29" s="8" t="s">
        <v>191</v>
      </c>
      <c r="B29" s="10" t="s">
        <v>157</v>
      </c>
      <c r="C29" s="17" t="n">
        <f aca="false">COUNTIFS(Codificacion!$AN$2:$AN$177,1,Codificacion!$B$2:$B$177,"Cuenta básica")</f>
        <v>16</v>
      </c>
      <c r="D29" s="17" t="n">
        <f aca="false">COUNTIFS(Codificacion!$AN$2:$AN$177,1,Codificacion!$B$2:$B$177,"AML")</f>
        <v>11</v>
      </c>
      <c r="E29" s="17" t="n">
        <f aca="false">COUNTIFS(Codificacion!$AN$2:$AN$177,1,Codificacion!$B$2:$B$177,"Directrices EBA")</f>
        <v>7</v>
      </c>
      <c r="F29" s="17" t="n">
        <f aca="false">COUNTIFS(Codificacion!$AN$2:$AN$177,1,Codificacion!$B$2:$B$177,"RGPD")</f>
        <v>2</v>
      </c>
      <c r="G29" s="17" t="n">
        <f aca="false">COUNTIFS(Codificacion!$AN$2:$AN$177,1,Codificacion!$B$2:$B$177,"AI Act")</f>
        <v>2</v>
      </c>
      <c r="H29" s="17" t="n">
        <f aca="false">COUNTIFS(Codificacion!$AN$2:$AN$177,1,Codificacion!$B$2:$B$177,"DORA")</f>
        <v>0</v>
      </c>
      <c r="I29" s="17" t="n">
        <f aca="false">COUNTIFS(Codificacion!$AN$2:$AN$177,1,Codificacion!$B$2:$B$177,"eIDAS 2")</f>
        <v>0</v>
      </c>
      <c r="J29" s="17" t="n">
        <f aca="false">COUNTIFS(Codificacion!$AN$2:$AN$177,1,Codificacion!$B$2:$B$177,"Accesibilidad")</f>
        <v>0</v>
      </c>
      <c r="K29" s="17" t="n">
        <f aca="false">COUNTIFS(Codificacion!$AN$2:$AN$177,1,Codificacion!$B$2:$B$177,"Atención al cliente ES")</f>
        <v>9</v>
      </c>
      <c r="L29" s="8" t="n">
        <f aca="false">SUM(C29:K29)</f>
        <v>47</v>
      </c>
      <c r="M29" s="8" t="n">
        <f aca="false">COUNTIF(C29:K29,"&gt;0")</f>
        <v>6</v>
      </c>
    </row>
    <row r="30" customFormat="false" ht="15" hidden="false" customHeight="true" outlineLevel="0" collapsed="false">
      <c r="A30" s="8" t="s">
        <v>192</v>
      </c>
      <c r="B30" s="10" t="s">
        <v>159</v>
      </c>
      <c r="C30" s="17" t="n">
        <f aca="false">COUNTIFS(Codificacion!$AO$2:$AO$177,1,Codificacion!$B$2:$B$177,"Cuenta básica")</f>
        <v>6</v>
      </c>
      <c r="D30" s="17" t="n">
        <f aca="false">COUNTIFS(Codificacion!$AO$2:$AO$177,1,Codificacion!$B$2:$B$177,"AML")</f>
        <v>19</v>
      </c>
      <c r="E30" s="17" t="n">
        <f aca="false">COUNTIFS(Codificacion!$AO$2:$AO$177,1,Codificacion!$B$2:$B$177,"Directrices EBA")</f>
        <v>6</v>
      </c>
      <c r="F30" s="17" t="n">
        <f aca="false">COUNTIFS(Codificacion!$AO$2:$AO$177,1,Codificacion!$B$2:$B$177,"RGPD")</f>
        <v>0</v>
      </c>
      <c r="G30" s="17" t="n">
        <f aca="false">COUNTIFS(Codificacion!$AO$2:$AO$177,1,Codificacion!$B$2:$B$177,"AI Act")</f>
        <v>0</v>
      </c>
      <c r="H30" s="17" t="n">
        <f aca="false">COUNTIFS(Codificacion!$AO$2:$AO$177,1,Codificacion!$B$2:$B$177,"DORA")</f>
        <v>0</v>
      </c>
      <c r="I30" s="17" t="n">
        <f aca="false">COUNTIFS(Codificacion!$AO$2:$AO$177,1,Codificacion!$B$2:$B$177,"eIDAS 2")</f>
        <v>0</v>
      </c>
      <c r="J30" s="17" t="n">
        <f aca="false">COUNTIFS(Codificacion!$AO$2:$AO$177,1,Codificacion!$B$2:$B$177,"Accesibilidad")</f>
        <v>0</v>
      </c>
      <c r="K30" s="17" t="n">
        <f aca="false">COUNTIFS(Codificacion!$AO$2:$AO$177,1,Codificacion!$B$2:$B$177,"Atención al cliente ES")</f>
        <v>2</v>
      </c>
      <c r="L30" s="8" t="n">
        <f aca="false">SUM(C30:K30)</f>
        <v>33</v>
      </c>
      <c r="M30" s="8" t="n">
        <f aca="false">COUNTIF(C30:K30,"&gt;0")</f>
        <v>4</v>
      </c>
    </row>
  </sheetData>
  <mergeCells count="1">
    <mergeCell ref="A2:L2"/>
  </mergeCells>
  <conditionalFormatting sqref="C6:K16">
    <cfRule type="cellIs" priority="2" operator="equal" aboveAverage="0" equalAverage="0" bottom="0" percent="0" rank="0" text="" dxfId="3">
      <formula>0</formula>
    </cfRule>
    <cfRule type="colorScale" priority="3">
      <colorScale>
        <cfvo type="num" val="1"/>
        <cfvo type="max" val="0"/>
        <color rgb="FFF2F2F2"/>
        <color rgb="FFA6A6A6"/>
      </colorScale>
    </cfRule>
  </conditionalFormatting>
  <conditionalFormatting sqref="C20:K30">
    <cfRule type="cellIs" priority="4" operator="equal" aboveAverage="0" equalAverage="0" bottom="0" percent="0" rank="0" text="" dxfId="3">
      <formula>0</formula>
    </cfRule>
    <cfRule type="colorScale" priority="5">
      <colorScale>
        <cfvo type="num" val="1"/>
        <cfvo type="max" val="0"/>
        <color rgb="FFF2F2F2"/>
        <color rgb="FFA6A6A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9" topLeftCell="E10" activePane="bottomRight" state="frozen"/>
      <selection pane="topLeft" activeCell="A1" activeCellId="0" sqref="A1"/>
      <selection pane="topRight" activeCell="E1" activeCellId="0" sqref="E1"/>
      <selection pane="bottomLeft" activeCell="A10" activeCellId="0" sqref="A10"/>
      <selection pane="bottomRight" activeCell="A1" activeCellId="0" sqref="A1"/>
    </sheetView>
  </sheetViews>
  <sheetFormatPr defaultColWidth="8.6796875" defaultRowHeight="15" zeroHeight="false" outlineLevelRow="0" outlineLevelCol="1"/>
  <cols>
    <col collapsed="false" customWidth="true" hidden="false" outlineLevel="0" max="1" min="1" style="1" width="11"/>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18"/>
    <col collapsed="false" customWidth="true" hidden="false" outlineLevel="0" max="6" min="6" style="1" width="12"/>
    <col collapsed="false" customWidth="true" hidden="false" outlineLevel="0" max="8" min="7" style="1" width="20"/>
    <col collapsed="false" customWidth="true" hidden="false" outlineLevel="0" max="9" min="9" style="1" width="12"/>
    <col collapsed="false" customWidth="true" hidden="true" outlineLevel="1" max="14" min="10" style="1" width="9"/>
  </cols>
  <sheetData>
    <row r="1" customFormat="false" ht="17.25" hidden="false" customHeight="true" outlineLevel="0" collapsed="false">
      <c r="A1" s="18" t="s">
        <v>1063</v>
      </c>
    </row>
    <row r="2" customFormat="false" ht="15" hidden="false" customHeight="true" outlineLevel="0" collapsed="false">
      <c r="A2" s="20" t="s">
        <v>1064</v>
      </c>
    </row>
    <row r="4" customFormat="false" ht="15" hidden="false" customHeight="true" outlineLevel="0" collapsed="false">
      <c r="A4" s="8" t="s">
        <v>1065</v>
      </c>
      <c r="C4" s="8" t="s">
        <v>34</v>
      </c>
      <c r="D4" s="8" t="s">
        <v>102</v>
      </c>
      <c r="E4" s="8" t="s">
        <v>35</v>
      </c>
      <c r="F4" s="8" t="s">
        <v>36</v>
      </c>
      <c r="G4" s="8" t="s">
        <v>39</v>
      </c>
      <c r="H4" s="8" t="s">
        <v>1066</v>
      </c>
    </row>
    <row r="5" customFormat="false" ht="15" hidden="false" customHeight="true" outlineLevel="0" collapsed="false">
      <c r="A5" s="10" t="s">
        <v>1067</v>
      </c>
      <c r="B5" s="1" t="n">
        <f aca="false">COUNTA(E10:E44)</f>
        <v>0</v>
      </c>
      <c r="C5" s="19" t="str">
        <f aca="false">IF(COUNT(J10:J44)=0,"",AVERAGE(J10:J44))</f>
        <v/>
      </c>
      <c r="D5" s="19" t="str">
        <f aca="false">IF(COUNT(K10:K44)=0,"",AVERAGE(K10:K44))</f>
        <v/>
      </c>
      <c r="E5" s="19" t="str">
        <f aca="false">IF(COUNT(L10:L44)=0,"",AVERAGE(L10:L44))</f>
        <v/>
      </c>
      <c r="F5" s="19" t="str">
        <f aca="false">IF(COUNT(M10:M44)=0,"",AVERAGE(M10:M44))</f>
        <v/>
      </c>
      <c r="G5" s="19" t="str">
        <f aca="false">IF(COUNT(N10:N44)=0,"",AVERAGE(N10:N44))</f>
        <v/>
      </c>
      <c r="H5" s="26" t="str">
        <f aca="false">IF(COUNT(J10:N44)=0,"",AVERAGE(J10:N44))</f>
        <v/>
      </c>
    </row>
    <row r="6" customFormat="false" ht="15" hidden="false" customHeight="true" outlineLevel="0" collapsed="false">
      <c r="A6" s="20" t="s">
        <v>1068</v>
      </c>
    </row>
    <row r="9" customFormat="false" ht="31.5" hidden="false" customHeight="true" outlineLevel="0" collapsed="false">
      <c r="A9" s="21" t="s">
        <v>41</v>
      </c>
      <c r="B9" s="21" t="s">
        <v>63</v>
      </c>
      <c r="C9" s="21" t="s">
        <v>73</v>
      </c>
      <c r="D9" s="21" t="s">
        <v>125</v>
      </c>
      <c r="E9" s="21" t="s">
        <v>1069</v>
      </c>
      <c r="F9" s="21" t="s">
        <v>1070</v>
      </c>
      <c r="G9" s="21" t="s">
        <v>1071</v>
      </c>
      <c r="H9" s="21" t="s">
        <v>1072</v>
      </c>
      <c r="I9" s="21" t="s">
        <v>1073</v>
      </c>
      <c r="J9" s="21" t="s">
        <v>1074</v>
      </c>
      <c r="K9" s="21" t="s">
        <v>1075</v>
      </c>
      <c r="L9" s="21" t="s">
        <v>1076</v>
      </c>
      <c r="M9" s="21" t="s">
        <v>1077</v>
      </c>
      <c r="N9" s="21" t="s">
        <v>1078</v>
      </c>
    </row>
    <row r="10" customFormat="false" ht="34.5" hidden="false" customHeight="true" outlineLevel="0" collapsed="false">
      <c r="A10" s="4" t="s">
        <v>193</v>
      </c>
      <c r="B10" s="4" t="s">
        <v>195</v>
      </c>
      <c r="C10" s="4" t="s">
        <v>196</v>
      </c>
      <c r="D10" s="4" t="s">
        <v>199</v>
      </c>
      <c r="E10" s="27"/>
      <c r="F10" s="27"/>
      <c r="G10" s="27"/>
      <c r="H10" s="27"/>
      <c r="I10" s="27"/>
      <c r="J10" s="16" t="str">
        <f aca="false">IF(E10="","",IF(TRIM(E10)=INDEX(Codificacion!$G:$G,MATCH($A10,Codificacion!$A:$A,0)),1,0))</f>
        <v/>
      </c>
      <c r="K10" s="16" t="str">
        <f aca="false">IF(F10="","",IF(TRIM(F10)=INDEX(Codificacion!$H:$H,MATCH($A10,Codificacion!$A:$A,0)),1,0))</f>
        <v/>
      </c>
      <c r="L10" s="16" t="str">
        <f aca="false">IF(G10="","",IF(TRIM(G10)=INDEX(Codificacion!$I:$I,MATCH($A10,Codificacion!$A:$A,0)),1,0))</f>
        <v/>
      </c>
      <c r="M10" s="16" t="str">
        <f aca="false">IF(H10="","",IF(TRIM(H10)=INDEX(Codificacion!$J:$J,MATCH($A10,Codificacion!$A:$A,0)),1,0))</f>
        <v/>
      </c>
      <c r="N10" s="16" t="str">
        <f aca="false">IF(I10="","",IF(TRIM(I10)=INDEX(Codificacion!$N:$N,MATCH($A10,Codificacion!$A:$A,0)),1,0))</f>
        <v/>
      </c>
    </row>
    <row r="11" customFormat="false" ht="34.5" hidden="false" customHeight="true" outlineLevel="0" collapsed="false">
      <c r="A11" s="4" t="s">
        <v>209</v>
      </c>
      <c r="B11" s="4" t="s">
        <v>195</v>
      </c>
      <c r="C11" s="4" t="s">
        <v>210</v>
      </c>
      <c r="D11" s="4" t="s">
        <v>212</v>
      </c>
      <c r="E11" s="27"/>
      <c r="F11" s="27"/>
      <c r="G11" s="27"/>
      <c r="H11" s="27"/>
      <c r="I11" s="27"/>
      <c r="J11" s="16" t="str">
        <f aca="false">IF(E11="","",IF(TRIM(E11)=INDEX(Codificacion!$G:$G,MATCH($A11,Codificacion!$A:$A,0)),1,0))</f>
        <v/>
      </c>
      <c r="K11" s="16" t="str">
        <f aca="false">IF(F11="","",IF(TRIM(F11)=INDEX(Codificacion!$H:$H,MATCH($A11,Codificacion!$A:$A,0)),1,0))</f>
        <v/>
      </c>
      <c r="L11" s="16" t="str">
        <f aca="false">IF(G11="","",IF(TRIM(G11)=INDEX(Codificacion!$I:$I,MATCH($A11,Codificacion!$A:$A,0)),1,0))</f>
        <v/>
      </c>
      <c r="M11" s="16" t="str">
        <f aca="false">IF(H11="","",IF(TRIM(H11)=INDEX(Codificacion!$J:$J,MATCH($A11,Codificacion!$A:$A,0)),1,0))</f>
        <v/>
      </c>
      <c r="N11" s="16" t="str">
        <f aca="false">IF(I11="","",IF(TRIM(I11)=INDEX(Codificacion!$N:$N,MATCH($A11,Codificacion!$A:$A,0)),1,0))</f>
        <v/>
      </c>
    </row>
    <row r="12" customFormat="false" ht="23.25" hidden="false" customHeight="true" outlineLevel="0" collapsed="false">
      <c r="A12" s="4" t="s">
        <v>285</v>
      </c>
      <c r="B12" s="4" t="s">
        <v>286</v>
      </c>
      <c r="C12" s="4" t="s">
        <v>287</v>
      </c>
      <c r="D12" s="4" t="s">
        <v>288</v>
      </c>
      <c r="E12" s="27"/>
      <c r="F12" s="27"/>
      <c r="G12" s="27"/>
      <c r="H12" s="27"/>
      <c r="I12" s="27"/>
      <c r="J12" s="16" t="str">
        <f aca="false">IF(E12="","",IF(TRIM(E12)=INDEX(Codificacion!$G:$G,MATCH($A12,Codificacion!$A:$A,0)),1,0))</f>
        <v/>
      </c>
      <c r="K12" s="16" t="str">
        <f aca="false">IF(F12="","",IF(TRIM(F12)=INDEX(Codificacion!$H:$H,MATCH($A12,Codificacion!$A:$A,0)),1,0))</f>
        <v/>
      </c>
      <c r="L12" s="16" t="str">
        <f aca="false">IF(G12="","",IF(TRIM(G12)=INDEX(Codificacion!$I:$I,MATCH($A12,Codificacion!$A:$A,0)),1,0))</f>
        <v/>
      </c>
      <c r="M12" s="16" t="str">
        <f aca="false">IF(H12="","",IF(TRIM(H12)=INDEX(Codificacion!$J:$J,MATCH($A12,Codificacion!$A:$A,0)),1,0))</f>
        <v/>
      </c>
      <c r="N12" s="16" t="str">
        <f aca="false">IF(I12="","",IF(TRIM(I12)=INDEX(Codificacion!$N:$N,MATCH($A12,Codificacion!$A:$A,0)),1,0))</f>
        <v/>
      </c>
    </row>
    <row r="13" customFormat="false" ht="34.5" hidden="false" customHeight="true" outlineLevel="0" collapsed="false">
      <c r="A13" s="4" t="s">
        <v>291</v>
      </c>
      <c r="B13" s="4" t="s">
        <v>292</v>
      </c>
      <c r="C13" s="4" t="s">
        <v>293</v>
      </c>
      <c r="D13" s="4" t="s">
        <v>295</v>
      </c>
      <c r="E13" s="27"/>
      <c r="F13" s="27"/>
      <c r="G13" s="27"/>
      <c r="H13" s="27"/>
      <c r="I13" s="27"/>
      <c r="J13" s="16" t="str">
        <f aca="false">IF(E13="","",IF(TRIM(E13)=INDEX(Codificacion!$G:$G,MATCH($A13,Codificacion!$A:$A,0)),1,0))</f>
        <v/>
      </c>
      <c r="K13" s="16" t="str">
        <f aca="false">IF(F13="","",IF(TRIM(F13)=INDEX(Codificacion!$H:$H,MATCH($A13,Codificacion!$A:$A,0)),1,0))</f>
        <v/>
      </c>
      <c r="L13" s="16" t="str">
        <f aca="false">IF(G13="","",IF(TRIM(G13)=INDEX(Codificacion!$I:$I,MATCH($A13,Codificacion!$A:$A,0)),1,0))</f>
        <v/>
      </c>
      <c r="M13" s="16" t="str">
        <f aca="false">IF(H13="","",IF(TRIM(H13)=INDEX(Codificacion!$J:$J,MATCH($A13,Codificacion!$A:$A,0)),1,0))</f>
        <v/>
      </c>
      <c r="N13" s="16" t="str">
        <f aca="false">IF(I13="","",IF(TRIM(I13)=INDEX(Codificacion!$N:$N,MATCH($A13,Codificacion!$A:$A,0)),1,0))</f>
        <v/>
      </c>
    </row>
    <row r="14" customFormat="false" ht="23.25" hidden="false" customHeight="true" outlineLevel="0" collapsed="false">
      <c r="A14" s="4" t="s">
        <v>302</v>
      </c>
      <c r="B14" s="4" t="s">
        <v>292</v>
      </c>
      <c r="C14" s="4" t="s">
        <v>303</v>
      </c>
      <c r="D14" s="4" t="s">
        <v>306</v>
      </c>
      <c r="E14" s="27"/>
      <c r="F14" s="27"/>
      <c r="G14" s="27"/>
      <c r="H14" s="27"/>
      <c r="I14" s="27"/>
      <c r="J14" s="16" t="str">
        <f aca="false">IF(E14="","",IF(TRIM(E14)=INDEX(Codificacion!$G:$G,MATCH($A14,Codificacion!$A:$A,0)),1,0))</f>
        <v/>
      </c>
      <c r="K14" s="16" t="str">
        <f aca="false">IF(F14="","",IF(TRIM(F14)=INDEX(Codificacion!$H:$H,MATCH($A14,Codificacion!$A:$A,0)),1,0))</f>
        <v/>
      </c>
      <c r="L14" s="16" t="str">
        <f aca="false">IF(G14="","",IF(TRIM(G14)=INDEX(Codificacion!$I:$I,MATCH($A14,Codificacion!$A:$A,0)),1,0))</f>
        <v/>
      </c>
      <c r="M14" s="16" t="str">
        <f aca="false">IF(H14="","",IF(TRIM(H14)=INDEX(Codificacion!$J:$J,MATCH($A14,Codificacion!$A:$A,0)),1,0))</f>
        <v/>
      </c>
      <c r="N14" s="16" t="str">
        <f aca="false">IF(I14="","",IF(TRIM(I14)=INDEX(Codificacion!$N:$N,MATCH($A14,Codificacion!$A:$A,0)),1,0))</f>
        <v/>
      </c>
    </row>
    <row r="15" customFormat="false" ht="34.5" hidden="false" customHeight="true" outlineLevel="0" collapsed="false">
      <c r="A15" s="4" t="s">
        <v>321</v>
      </c>
      <c r="B15" s="4" t="s">
        <v>316</v>
      </c>
      <c r="C15" s="4" t="s">
        <v>322</v>
      </c>
      <c r="D15" s="4" t="s">
        <v>324</v>
      </c>
      <c r="E15" s="27"/>
      <c r="F15" s="27"/>
      <c r="G15" s="27"/>
      <c r="H15" s="27"/>
      <c r="I15" s="27"/>
      <c r="J15" s="16" t="str">
        <f aca="false">IF(E15="","",IF(TRIM(E15)=INDEX(Codificacion!$G:$G,MATCH($A15,Codificacion!$A:$A,0)),1,0))</f>
        <v/>
      </c>
      <c r="K15" s="16" t="str">
        <f aca="false">IF(F15="","",IF(TRIM(F15)=INDEX(Codificacion!$H:$H,MATCH($A15,Codificacion!$A:$A,0)),1,0))</f>
        <v/>
      </c>
      <c r="L15" s="16" t="str">
        <f aca="false">IF(G15="","",IF(TRIM(G15)=INDEX(Codificacion!$I:$I,MATCH($A15,Codificacion!$A:$A,0)),1,0))</f>
        <v/>
      </c>
      <c r="M15" s="16" t="str">
        <f aca="false">IF(H15="","",IF(TRIM(H15)=INDEX(Codificacion!$J:$J,MATCH($A15,Codificacion!$A:$A,0)),1,0))</f>
        <v/>
      </c>
      <c r="N15" s="16" t="str">
        <f aca="false">IF(I15="","",IF(TRIM(I15)=INDEX(Codificacion!$N:$N,MATCH($A15,Codificacion!$A:$A,0)),1,0))</f>
        <v/>
      </c>
    </row>
    <row r="16" customFormat="false" ht="34.5" hidden="false" customHeight="true" outlineLevel="0" collapsed="false">
      <c r="A16" s="4" t="s">
        <v>326</v>
      </c>
      <c r="B16" s="4" t="s">
        <v>327</v>
      </c>
      <c r="C16" s="4" t="s">
        <v>328</v>
      </c>
      <c r="D16" s="4" t="s">
        <v>330</v>
      </c>
      <c r="E16" s="27"/>
      <c r="F16" s="27"/>
      <c r="G16" s="27"/>
      <c r="H16" s="27"/>
      <c r="I16" s="27"/>
      <c r="J16" s="16" t="str">
        <f aca="false">IF(E16="","",IF(TRIM(E16)=INDEX(Codificacion!$G:$G,MATCH($A16,Codificacion!$A:$A,0)),1,0))</f>
        <v/>
      </c>
      <c r="K16" s="16" t="str">
        <f aca="false">IF(F16="","",IF(TRIM(F16)=INDEX(Codificacion!$H:$H,MATCH($A16,Codificacion!$A:$A,0)),1,0))</f>
        <v/>
      </c>
      <c r="L16" s="16" t="str">
        <f aca="false">IF(G16="","",IF(TRIM(G16)=INDEX(Codificacion!$I:$I,MATCH($A16,Codificacion!$A:$A,0)),1,0))</f>
        <v/>
      </c>
      <c r="M16" s="16" t="str">
        <f aca="false">IF(H16="","",IF(TRIM(H16)=INDEX(Codificacion!$J:$J,MATCH($A16,Codificacion!$A:$A,0)),1,0))</f>
        <v/>
      </c>
      <c r="N16" s="16" t="str">
        <f aca="false">IF(I16="","",IF(TRIM(I16)=INDEX(Codificacion!$N:$N,MATCH($A16,Codificacion!$A:$A,0)),1,0))</f>
        <v/>
      </c>
    </row>
    <row r="17" customFormat="false" ht="34.5" hidden="false" customHeight="true" outlineLevel="0" collapsed="false">
      <c r="A17" s="4" t="s">
        <v>336</v>
      </c>
      <c r="B17" s="4" t="s">
        <v>327</v>
      </c>
      <c r="C17" s="4" t="s">
        <v>337</v>
      </c>
      <c r="D17" s="4" t="s">
        <v>338</v>
      </c>
      <c r="E17" s="27"/>
      <c r="F17" s="27"/>
      <c r="G17" s="27"/>
      <c r="H17" s="27"/>
      <c r="I17" s="27"/>
      <c r="J17" s="16" t="str">
        <f aca="false">IF(E17="","",IF(TRIM(E17)=INDEX(Codificacion!$G:$G,MATCH($A17,Codificacion!$A:$A,0)),1,0))</f>
        <v/>
      </c>
      <c r="K17" s="16" t="str">
        <f aca="false">IF(F17="","",IF(TRIM(F17)=INDEX(Codificacion!$H:$H,MATCH($A17,Codificacion!$A:$A,0)),1,0))</f>
        <v/>
      </c>
      <c r="L17" s="16" t="str">
        <f aca="false">IF(G17="","",IF(TRIM(G17)=INDEX(Codificacion!$I:$I,MATCH($A17,Codificacion!$A:$A,0)),1,0))</f>
        <v/>
      </c>
      <c r="M17" s="16" t="str">
        <f aca="false">IF(H17="","",IF(TRIM(H17)=INDEX(Codificacion!$J:$J,MATCH($A17,Codificacion!$A:$A,0)),1,0))</f>
        <v/>
      </c>
      <c r="N17" s="16" t="str">
        <f aca="false">IF(I17="","",IF(TRIM(I17)=INDEX(Codificacion!$N:$N,MATCH($A17,Codificacion!$A:$A,0)),1,0))</f>
        <v/>
      </c>
    </row>
    <row r="18" customFormat="false" ht="34.5" hidden="false" customHeight="true" outlineLevel="0" collapsed="false">
      <c r="A18" s="4" t="s">
        <v>342</v>
      </c>
      <c r="B18" s="4" t="s">
        <v>343</v>
      </c>
      <c r="C18" s="4" t="s">
        <v>344</v>
      </c>
      <c r="D18" s="4" t="s">
        <v>346</v>
      </c>
      <c r="E18" s="27"/>
      <c r="F18" s="27"/>
      <c r="G18" s="27"/>
      <c r="H18" s="27"/>
      <c r="I18" s="27"/>
      <c r="J18" s="16" t="str">
        <f aca="false">IF(E18="","",IF(TRIM(E18)=INDEX(Codificacion!$G:$G,MATCH($A18,Codificacion!$A:$A,0)),1,0))</f>
        <v/>
      </c>
      <c r="K18" s="16" t="str">
        <f aca="false">IF(F18="","",IF(TRIM(F18)=INDEX(Codificacion!$H:$H,MATCH($A18,Codificacion!$A:$A,0)),1,0))</f>
        <v/>
      </c>
      <c r="L18" s="16" t="str">
        <f aca="false">IF(G18="","",IF(TRIM(G18)=INDEX(Codificacion!$I:$I,MATCH($A18,Codificacion!$A:$A,0)),1,0))</f>
        <v/>
      </c>
      <c r="M18" s="16" t="str">
        <f aca="false">IF(H18="","",IF(TRIM(H18)=INDEX(Codificacion!$J:$J,MATCH($A18,Codificacion!$A:$A,0)),1,0))</f>
        <v/>
      </c>
      <c r="N18" s="16" t="str">
        <f aca="false">IF(I18="","",IF(TRIM(I18)=INDEX(Codificacion!$N:$N,MATCH($A18,Codificacion!$A:$A,0)),1,0))</f>
        <v/>
      </c>
    </row>
    <row r="19" customFormat="false" ht="34.5" hidden="false" customHeight="true" outlineLevel="0" collapsed="false">
      <c r="A19" s="4" t="s">
        <v>461</v>
      </c>
      <c r="B19" s="4" t="s">
        <v>390</v>
      </c>
      <c r="C19" s="4" t="s">
        <v>462</v>
      </c>
      <c r="D19" s="4" t="s">
        <v>463</v>
      </c>
      <c r="E19" s="27"/>
      <c r="F19" s="27"/>
      <c r="G19" s="27"/>
      <c r="H19" s="27"/>
      <c r="I19" s="27"/>
      <c r="J19" s="16" t="str">
        <f aca="false">IF(E19="","",IF(TRIM(E19)=INDEX(Codificacion!$G:$G,MATCH($A19,Codificacion!$A:$A,0)),1,0))</f>
        <v/>
      </c>
      <c r="K19" s="16" t="str">
        <f aca="false">IF(F19="","",IF(TRIM(F19)=INDEX(Codificacion!$H:$H,MATCH($A19,Codificacion!$A:$A,0)),1,0))</f>
        <v/>
      </c>
      <c r="L19" s="16" t="str">
        <f aca="false">IF(G19="","",IF(TRIM(G19)=INDEX(Codificacion!$I:$I,MATCH($A19,Codificacion!$A:$A,0)),1,0))</f>
        <v/>
      </c>
      <c r="M19" s="16" t="str">
        <f aca="false">IF(H19="","",IF(TRIM(H19)=INDEX(Codificacion!$J:$J,MATCH($A19,Codificacion!$A:$A,0)),1,0))</f>
        <v/>
      </c>
      <c r="N19" s="16" t="str">
        <f aca="false">IF(I19="","",IF(TRIM(I19)=INDEX(Codificacion!$N:$N,MATCH($A19,Codificacion!$A:$A,0)),1,0))</f>
        <v/>
      </c>
    </row>
    <row r="20" customFormat="false" ht="23.25" hidden="false" customHeight="true" outlineLevel="0" collapsed="false">
      <c r="A20" s="4" t="s">
        <v>479</v>
      </c>
      <c r="B20" s="4" t="s">
        <v>390</v>
      </c>
      <c r="C20" s="4" t="s">
        <v>480</v>
      </c>
      <c r="D20" s="4" t="s">
        <v>481</v>
      </c>
      <c r="E20" s="27"/>
      <c r="F20" s="27"/>
      <c r="G20" s="27"/>
      <c r="H20" s="27"/>
      <c r="I20" s="27"/>
      <c r="J20" s="16" t="str">
        <f aca="false">IF(E20="","",IF(TRIM(E20)=INDEX(Codificacion!$G:$G,MATCH($A20,Codificacion!$A:$A,0)),1,0))</f>
        <v/>
      </c>
      <c r="K20" s="16" t="str">
        <f aca="false">IF(F20="","",IF(TRIM(F20)=INDEX(Codificacion!$H:$H,MATCH($A20,Codificacion!$A:$A,0)),1,0))</f>
        <v/>
      </c>
      <c r="L20" s="16" t="str">
        <f aca="false">IF(G20="","",IF(TRIM(G20)=INDEX(Codificacion!$I:$I,MATCH($A20,Codificacion!$A:$A,0)),1,0))</f>
        <v/>
      </c>
      <c r="M20" s="16" t="str">
        <f aca="false">IF(H20="","",IF(TRIM(H20)=INDEX(Codificacion!$J:$J,MATCH($A20,Codificacion!$A:$A,0)),1,0))</f>
        <v/>
      </c>
      <c r="N20" s="16" t="str">
        <f aca="false">IF(I20="","",IF(TRIM(I20)=INDEX(Codificacion!$N:$N,MATCH($A20,Codificacion!$A:$A,0)),1,0))</f>
        <v/>
      </c>
    </row>
    <row r="21" customFormat="false" ht="34.5" hidden="false" customHeight="true" outlineLevel="0" collapsed="false">
      <c r="A21" s="4" t="s">
        <v>498</v>
      </c>
      <c r="B21" s="4" t="s">
        <v>390</v>
      </c>
      <c r="C21" s="4" t="s">
        <v>499</v>
      </c>
      <c r="D21" s="4" t="s">
        <v>500</v>
      </c>
      <c r="E21" s="27"/>
      <c r="F21" s="27"/>
      <c r="G21" s="27"/>
      <c r="H21" s="27"/>
      <c r="I21" s="27"/>
      <c r="J21" s="16" t="str">
        <f aca="false">IF(E21="","",IF(TRIM(E21)=INDEX(Codificacion!$G:$G,MATCH($A21,Codificacion!$A:$A,0)),1,0))</f>
        <v/>
      </c>
      <c r="K21" s="16" t="str">
        <f aca="false">IF(F21="","",IF(TRIM(F21)=INDEX(Codificacion!$H:$H,MATCH($A21,Codificacion!$A:$A,0)),1,0))</f>
        <v/>
      </c>
      <c r="L21" s="16" t="str">
        <f aca="false">IF(G21="","",IF(TRIM(G21)=INDEX(Codificacion!$I:$I,MATCH($A21,Codificacion!$A:$A,0)),1,0))</f>
        <v/>
      </c>
      <c r="M21" s="16" t="str">
        <f aca="false">IF(H21="","",IF(TRIM(H21)=INDEX(Codificacion!$J:$J,MATCH($A21,Codificacion!$A:$A,0)),1,0))</f>
        <v/>
      </c>
      <c r="N21" s="16" t="str">
        <f aca="false">IF(I21="","",IF(TRIM(I21)=INDEX(Codificacion!$N:$N,MATCH($A21,Codificacion!$A:$A,0)),1,0))</f>
        <v/>
      </c>
    </row>
    <row r="22" customFormat="false" ht="45.75" hidden="false" customHeight="true" outlineLevel="0" collapsed="false">
      <c r="A22" s="4" t="s">
        <v>512</v>
      </c>
      <c r="B22" s="4" t="s">
        <v>390</v>
      </c>
      <c r="C22" s="4" t="s">
        <v>513</v>
      </c>
      <c r="D22" s="4" t="s">
        <v>515</v>
      </c>
      <c r="E22" s="27"/>
      <c r="F22" s="27"/>
      <c r="G22" s="27"/>
      <c r="H22" s="27"/>
      <c r="I22" s="27"/>
      <c r="J22" s="16" t="str">
        <f aca="false">IF(E22="","",IF(TRIM(E22)=INDEX(Codificacion!$G:$G,MATCH($A22,Codificacion!$A:$A,0)),1,0))</f>
        <v/>
      </c>
      <c r="K22" s="16" t="str">
        <f aca="false">IF(F22="","",IF(TRIM(F22)=INDEX(Codificacion!$H:$H,MATCH($A22,Codificacion!$A:$A,0)),1,0))</f>
        <v/>
      </c>
      <c r="L22" s="16" t="str">
        <f aca="false">IF(G22="","",IF(TRIM(G22)=INDEX(Codificacion!$I:$I,MATCH($A22,Codificacion!$A:$A,0)),1,0))</f>
        <v/>
      </c>
      <c r="M22" s="16" t="str">
        <f aca="false">IF(H22="","",IF(TRIM(H22)=INDEX(Codificacion!$J:$J,MATCH($A22,Codificacion!$A:$A,0)),1,0))</f>
        <v/>
      </c>
      <c r="N22" s="16" t="str">
        <f aca="false">IF(I22="","",IF(TRIM(I22)=INDEX(Codificacion!$N:$N,MATCH($A22,Codificacion!$A:$A,0)),1,0))</f>
        <v/>
      </c>
    </row>
    <row r="23" customFormat="false" ht="34.5" hidden="false" customHeight="true" outlineLevel="0" collapsed="false">
      <c r="A23" s="4" t="s">
        <v>556</v>
      </c>
      <c r="B23" s="4" t="s">
        <v>531</v>
      </c>
      <c r="C23" s="4" t="s">
        <v>557</v>
      </c>
      <c r="D23" s="4" t="s">
        <v>559</v>
      </c>
      <c r="E23" s="27"/>
      <c r="F23" s="27"/>
      <c r="G23" s="27"/>
      <c r="H23" s="27"/>
      <c r="I23" s="27"/>
      <c r="J23" s="16" t="str">
        <f aca="false">IF(E23="","",IF(TRIM(E23)=INDEX(Codificacion!$G:$G,MATCH($A23,Codificacion!$A:$A,0)),1,0))</f>
        <v/>
      </c>
      <c r="K23" s="16" t="str">
        <f aca="false">IF(F23="","",IF(TRIM(F23)=INDEX(Codificacion!$H:$H,MATCH($A23,Codificacion!$A:$A,0)),1,0))</f>
        <v/>
      </c>
      <c r="L23" s="16" t="str">
        <f aca="false">IF(G23="","",IF(TRIM(G23)=INDEX(Codificacion!$I:$I,MATCH($A23,Codificacion!$A:$A,0)),1,0))</f>
        <v/>
      </c>
      <c r="M23" s="16" t="str">
        <f aca="false">IF(H23="","",IF(TRIM(H23)=INDEX(Codificacion!$J:$J,MATCH($A23,Codificacion!$A:$A,0)),1,0))</f>
        <v/>
      </c>
      <c r="N23" s="16" t="str">
        <f aca="false">IF(I23="","",IF(TRIM(I23)=INDEX(Codificacion!$N:$N,MATCH($A23,Codificacion!$A:$A,0)),1,0))</f>
        <v/>
      </c>
    </row>
    <row r="24" customFormat="false" ht="23.25" hidden="false" customHeight="true" outlineLevel="0" collapsed="false">
      <c r="A24" s="4" t="s">
        <v>590</v>
      </c>
      <c r="B24" s="4" t="s">
        <v>531</v>
      </c>
      <c r="C24" s="4" t="s">
        <v>591</v>
      </c>
      <c r="D24" s="4" t="s">
        <v>593</v>
      </c>
      <c r="E24" s="27"/>
      <c r="F24" s="27"/>
      <c r="G24" s="27"/>
      <c r="H24" s="27"/>
      <c r="I24" s="27"/>
      <c r="J24" s="16" t="str">
        <f aca="false">IF(E24="","",IF(TRIM(E24)=INDEX(Codificacion!$G:$G,MATCH($A24,Codificacion!$A:$A,0)),1,0))</f>
        <v/>
      </c>
      <c r="K24" s="16" t="str">
        <f aca="false">IF(F24="","",IF(TRIM(F24)=INDEX(Codificacion!$H:$H,MATCH($A24,Codificacion!$A:$A,0)),1,0))</f>
        <v/>
      </c>
      <c r="L24" s="16" t="str">
        <f aca="false">IF(G24="","",IF(TRIM(G24)=INDEX(Codificacion!$I:$I,MATCH($A24,Codificacion!$A:$A,0)),1,0))</f>
        <v/>
      </c>
      <c r="M24" s="16" t="str">
        <f aca="false">IF(H24="","",IF(TRIM(H24)=INDEX(Codificacion!$J:$J,MATCH($A24,Codificacion!$A:$A,0)),1,0))</f>
        <v/>
      </c>
      <c r="N24" s="16" t="str">
        <f aca="false">IF(I24="","",IF(TRIM(I24)=INDEX(Codificacion!$N:$N,MATCH($A24,Codificacion!$A:$A,0)),1,0))</f>
        <v/>
      </c>
    </row>
    <row r="25" customFormat="false" ht="45.75" hidden="false" customHeight="true" outlineLevel="0" collapsed="false">
      <c r="A25" s="4" t="s">
        <v>596</v>
      </c>
      <c r="B25" s="4" t="s">
        <v>531</v>
      </c>
      <c r="C25" s="4" t="s">
        <v>597</v>
      </c>
      <c r="D25" s="4" t="s">
        <v>598</v>
      </c>
      <c r="E25" s="27"/>
      <c r="F25" s="27"/>
      <c r="G25" s="27"/>
      <c r="H25" s="27"/>
      <c r="I25" s="27"/>
      <c r="J25" s="16" t="str">
        <f aca="false">IF(E25="","",IF(TRIM(E25)=INDEX(Codificacion!$G:$G,MATCH($A25,Codificacion!$A:$A,0)),1,0))</f>
        <v/>
      </c>
      <c r="K25" s="16" t="str">
        <f aca="false">IF(F25="","",IF(TRIM(F25)=INDEX(Codificacion!$H:$H,MATCH($A25,Codificacion!$A:$A,0)),1,0))</f>
        <v/>
      </c>
      <c r="L25" s="16" t="str">
        <f aca="false">IF(G25="","",IF(TRIM(G25)=INDEX(Codificacion!$I:$I,MATCH($A25,Codificacion!$A:$A,0)),1,0))</f>
        <v/>
      </c>
      <c r="M25" s="16" t="str">
        <f aca="false">IF(H25="","",IF(TRIM(H25)=INDEX(Codificacion!$J:$J,MATCH($A25,Codificacion!$A:$A,0)),1,0))</f>
        <v/>
      </c>
      <c r="N25" s="16" t="str">
        <f aca="false">IF(I25="","",IF(TRIM(I25)=INDEX(Codificacion!$N:$N,MATCH($A25,Codificacion!$A:$A,0)),1,0))</f>
        <v/>
      </c>
    </row>
    <row r="26" customFormat="false" ht="34.5" hidden="false" customHeight="true" outlineLevel="0" collapsed="false">
      <c r="A26" s="4" t="s">
        <v>622</v>
      </c>
      <c r="B26" s="4" t="s">
        <v>531</v>
      </c>
      <c r="C26" s="4" t="s">
        <v>623</v>
      </c>
      <c r="D26" s="4" t="s">
        <v>624</v>
      </c>
      <c r="E26" s="27"/>
      <c r="F26" s="27"/>
      <c r="G26" s="27"/>
      <c r="H26" s="27"/>
      <c r="I26" s="27"/>
      <c r="J26" s="16" t="str">
        <f aca="false">IF(E26="","",IF(TRIM(E26)=INDEX(Codificacion!$G:$G,MATCH($A26,Codificacion!$A:$A,0)),1,0))</f>
        <v/>
      </c>
      <c r="K26" s="16" t="str">
        <f aca="false">IF(F26="","",IF(TRIM(F26)=INDEX(Codificacion!$H:$H,MATCH($A26,Codificacion!$A:$A,0)),1,0))</f>
        <v/>
      </c>
      <c r="L26" s="16" t="str">
        <f aca="false">IF(G26="","",IF(TRIM(G26)=INDEX(Codificacion!$I:$I,MATCH($A26,Codificacion!$A:$A,0)),1,0))</f>
        <v/>
      </c>
      <c r="M26" s="16" t="str">
        <f aca="false">IF(H26="","",IF(TRIM(H26)=INDEX(Codificacion!$J:$J,MATCH($A26,Codificacion!$A:$A,0)),1,0))</f>
        <v/>
      </c>
      <c r="N26" s="16" t="str">
        <f aca="false">IF(I26="","",IF(TRIM(I26)=INDEX(Codificacion!$N:$N,MATCH($A26,Codificacion!$A:$A,0)),1,0))</f>
        <v/>
      </c>
    </row>
    <row r="27" customFormat="false" ht="34.5" hidden="false" customHeight="true" outlineLevel="0" collapsed="false">
      <c r="A27" s="4" t="s">
        <v>630</v>
      </c>
      <c r="B27" s="4" t="s">
        <v>631</v>
      </c>
      <c r="C27" s="4" t="s">
        <v>632</v>
      </c>
      <c r="D27" s="4" t="s">
        <v>634</v>
      </c>
      <c r="E27" s="27"/>
      <c r="F27" s="27"/>
      <c r="G27" s="27"/>
      <c r="H27" s="27"/>
      <c r="I27" s="27"/>
      <c r="J27" s="16" t="str">
        <f aca="false">IF(E27="","",IF(TRIM(E27)=INDEX(Codificacion!$G:$G,MATCH($A27,Codificacion!$A:$A,0)),1,0))</f>
        <v/>
      </c>
      <c r="K27" s="16" t="str">
        <f aca="false">IF(F27="","",IF(TRIM(F27)=INDEX(Codificacion!$H:$H,MATCH($A27,Codificacion!$A:$A,0)),1,0))</f>
        <v/>
      </c>
      <c r="L27" s="16" t="str">
        <f aca="false">IF(G27="","",IF(TRIM(G27)=INDEX(Codificacion!$I:$I,MATCH($A27,Codificacion!$A:$A,0)),1,0))</f>
        <v/>
      </c>
      <c r="M27" s="16" t="str">
        <f aca="false">IF(H27="","",IF(TRIM(H27)=INDEX(Codificacion!$J:$J,MATCH($A27,Codificacion!$A:$A,0)),1,0))</f>
        <v/>
      </c>
      <c r="N27" s="16" t="str">
        <f aca="false">IF(I27="","",IF(TRIM(I27)=INDEX(Codificacion!$N:$N,MATCH($A27,Codificacion!$A:$A,0)),1,0))</f>
        <v/>
      </c>
    </row>
    <row r="28" customFormat="false" ht="34.5" hidden="false" customHeight="true" outlineLevel="0" collapsed="false">
      <c r="A28" s="4" t="s">
        <v>641</v>
      </c>
      <c r="B28" s="4" t="s">
        <v>631</v>
      </c>
      <c r="C28" s="4" t="s">
        <v>642</v>
      </c>
      <c r="D28" s="4" t="s">
        <v>644</v>
      </c>
      <c r="E28" s="27"/>
      <c r="F28" s="27"/>
      <c r="G28" s="27"/>
      <c r="H28" s="27"/>
      <c r="I28" s="27"/>
      <c r="J28" s="16" t="str">
        <f aca="false">IF(E28="","",IF(TRIM(E28)=INDEX(Codificacion!$G:$G,MATCH($A28,Codificacion!$A:$A,0)),1,0))</f>
        <v/>
      </c>
      <c r="K28" s="16" t="str">
        <f aca="false">IF(F28="","",IF(TRIM(F28)=INDEX(Codificacion!$H:$H,MATCH($A28,Codificacion!$A:$A,0)),1,0))</f>
        <v/>
      </c>
      <c r="L28" s="16" t="str">
        <f aca="false">IF(G28="","",IF(TRIM(G28)=INDEX(Codificacion!$I:$I,MATCH($A28,Codificacion!$A:$A,0)),1,0))</f>
        <v/>
      </c>
      <c r="M28" s="16" t="str">
        <f aca="false">IF(H28="","",IF(TRIM(H28)=INDEX(Codificacion!$J:$J,MATCH($A28,Codificacion!$A:$A,0)),1,0))</f>
        <v/>
      </c>
      <c r="N28" s="16" t="str">
        <f aca="false">IF(I28="","",IF(TRIM(I28)=INDEX(Codificacion!$N:$N,MATCH($A28,Codificacion!$A:$A,0)),1,0))</f>
        <v/>
      </c>
    </row>
    <row r="29" customFormat="false" ht="34.5" hidden="false" customHeight="true" outlineLevel="0" collapsed="false">
      <c r="A29" s="4" t="s">
        <v>663</v>
      </c>
      <c r="B29" s="4" t="s">
        <v>631</v>
      </c>
      <c r="C29" s="4" t="s">
        <v>664</v>
      </c>
      <c r="D29" s="4" t="s">
        <v>666</v>
      </c>
      <c r="E29" s="27"/>
      <c r="F29" s="27"/>
      <c r="G29" s="27"/>
      <c r="H29" s="27"/>
      <c r="I29" s="27"/>
      <c r="J29" s="16" t="str">
        <f aca="false">IF(E29="","",IF(TRIM(E29)=INDEX(Codificacion!$G:$G,MATCH($A29,Codificacion!$A:$A,0)),1,0))</f>
        <v/>
      </c>
      <c r="K29" s="16" t="str">
        <f aca="false">IF(F29="","",IF(TRIM(F29)=INDEX(Codificacion!$H:$H,MATCH($A29,Codificacion!$A:$A,0)),1,0))</f>
        <v/>
      </c>
      <c r="L29" s="16" t="str">
        <f aca="false">IF(G29="","",IF(TRIM(G29)=INDEX(Codificacion!$I:$I,MATCH($A29,Codificacion!$A:$A,0)),1,0))</f>
        <v/>
      </c>
      <c r="M29" s="16" t="str">
        <f aca="false">IF(H29="","",IF(TRIM(H29)=INDEX(Codificacion!$J:$J,MATCH($A29,Codificacion!$A:$A,0)),1,0))</f>
        <v/>
      </c>
      <c r="N29" s="16" t="str">
        <f aca="false">IF(I29="","",IF(TRIM(I29)=INDEX(Codificacion!$N:$N,MATCH($A29,Codificacion!$A:$A,0)),1,0))</f>
        <v/>
      </c>
    </row>
    <row r="30" customFormat="false" ht="34.5" hidden="false" customHeight="true" outlineLevel="0" collapsed="false">
      <c r="A30" s="4" t="s">
        <v>687</v>
      </c>
      <c r="B30" s="4" t="s">
        <v>631</v>
      </c>
      <c r="C30" s="4" t="s">
        <v>563</v>
      </c>
      <c r="D30" s="4" t="s">
        <v>688</v>
      </c>
      <c r="E30" s="27"/>
      <c r="F30" s="27"/>
      <c r="G30" s="27"/>
      <c r="H30" s="27"/>
      <c r="I30" s="27"/>
      <c r="J30" s="16" t="str">
        <f aca="false">IF(E30="","",IF(TRIM(E30)=INDEX(Codificacion!$G:$G,MATCH($A30,Codificacion!$A:$A,0)),1,0))</f>
        <v/>
      </c>
      <c r="K30" s="16" t="str">
        <f aca="false">IF(F30="","",IF(TRIM(F30)=INDEX(Codificacion!$H:$H,MATCH($A30,Codificacion!$A:$A,0)),1,0))</f>
        <v/>
      </c>
      <c r="L30" s="16" t="str">
        <f aca="false">IF(G30="","",IF(TRIM(G30)=INDEX(Codificacion!$I:$I,MATCH($A30,Codificacion!$A:$A,0)),1,0))</f>
        <v/>
      </c>
      <c r="M30" s="16" t="str">
        <f aca="false">IF(H30="","",IF(TRIM(H30)=INDEX(Codificacion!$J:$J,MATCH($A30,Codificacion!$A:$A,0)),1,0))</f>
        <v/>
      </c>
      <c r="N30" s="16" t="str">
        <f aca="false">IF(I30="","",IF(TRIM(I30)=INDEX(Codificacion!$N:$N,MATCH($A30,Codificacion!$A:$A,0)),1,0))</f>
        <v/>
      </c>
    </row>
    <row r="31" customFormat="false" ht="34.5" hidden="false" customHeight="true" outlineLevel="0" collapsed="false">
      <c r="A31" s="4" t="s">
        <v>716</v>
      </c>
      <c r="B31" s="4" t="s">
        <v>694</v>
      </c>
      <c r="C31" s="4" t="s">
        <v>717</v>
      </c>
      <c r="D31" s="4" t="s">
        <v>718</v>
      </c>
      <c r="E31" s="27"/>
      <c r="F31" s="27"/>
      <c r="G31" s="27"/>
      <c r="H31" s="27"/>
      <c r="I31" s="27"/>
      <c r="J31" s="16" t="str">
        <f aca="false">IF(E31="","",IF(TRIM(E31)=INDEX(Codificacion!$G:$G,MATCH($A31,Codificacion!$A:$A,0)),1,0))</f>
        <v/>
      </c>
      <c r="K31" s="16" t="str">
        <f aca="false">IF(F31="","",IF(TRIM(F31)=INDEX(Codificacion!$H:$H,MATCH($A31,Codificacion!$A:$A,0)),1,0))</f>
        <v/>
      </c>
      <c r="L31" s="16" t="str">
        <f aca="false">IF(G31="","",IF(TRIM(G31)=INDEX(Codificacion!$I:$I,MATCH($A31,Codificacion!$A:$A,0)),1,0))</f>
        <v/>
      </c>
      <c r="M31" s="16" t="str">
        <f aca="false">IF(H31="","",IF(TRIM(H31)=INDEX(Codificacion!$J:$J,MATCH($A31,Codificacion!$A:$A,0)),1,0))</f>
        <v/>
      </c>
      <c r="N31" s="16" t="str">
        <f aca="false">IF(I31="","",IF(TRIM(I31)=INDEX(Codificacion!$N:$N,MATCH($A31,Codificacion!$A:$A,0)),1,0))</f>
        <v/>
      </c>
    </row>
    <row r="32" customFormat="false" ht="34.5" hidden="false" customHeight="true" outlineLevel="0" collapsed="false">
      <c r="A32" s="4" t="s">
        <v>738</v>
      </c>
      <c r="B32" s="4" t="s">
        <v>694</v>
      </c>
      <c r="C32" s="4" t="s">
        <v>739</v>
      </c>
      <c r="D32" s="4" t="s">
        <v>740</v>
      </c>
      <c r="E32" s="27"/>
      <c r="F32" s="27"/>
      <c r="G32" s="27"/>
      <c r="H32" s="27"/>
      <c r="I32" s="27"/>
      <c r="J32" s="16" t="str">
        <f aca="false">IF(E32="","",IF(TRIM(E32)=INDEX(Codificacion!$G:$G,MATCH($A32,Codificacion!$A:$A,0)),1,0))</f>
        <v/>
      </c>
      <c r="K32" s="16" t="str">
        <f aca="false">IF(F32="","",IF(TRIM(F32)=INDEX(Codificacion!$H:$H,MATCH($A32,Codificacion!$A:$A,0)),1,0))</f>
        <v/>
      </c>
      <c r="L32" s="16" t="str">
        <f aca="false">IF(G32="","",IF(TRIM(G32)=INDEX(Codificacion!$I:$I,MATCH($A32,Codificacion!$A:$A,0)),1,0))</f>
        <v/>
      </c>
      <c r="M32" s="16" t="str">
        <f aca="false">IF(H32="","",IF(TRIM(H32)=INDEX(Codificacion!$J:$J,MATCH($A32,Codificacion!$A:$A,0)),1,0))</f>
        <v/>
      </c>
      <c r="N32" s="16" t="str">
        <f aca="false">IF(I32="","",IF(TRIM(I32)=INDEX(Codificacion!$N:$N,MATCH($A32,Codificacion!$A:$A,0)),1,0))</f>
        <v/>
      </c>
    </row>
    <row r="33" customFormat="false" ht="45.75" hidden="false" customHeight="true" outlineLevel="0" collapsed="false">
      <c r="A33" s="4" t="s">
        <v>749</v>
      </c>
      <c r="B33" s="4" t="s">
        <v>694</v>
      </c>
      <c r="C33" s="4" t="s">
        <v>750</v>
      </c>
      <c r="D33" s="4" t="s">
        <v>751</v>
      </c>
      <c r="E33" s="27"/>
      <c r="F33" s="27"/>
      <c r="G33" s="27"/>
      <c r="H33" s="27"/>
      <c r="I33" s="27"/>
      <c r="J33" s="16" t="str">
        <f aca="false">IF(E33="","",IF(TRIM(E33)=INDEX(Codificacion!$G:$G,MATCH($A33,Codificacion!$A:$A,0)),1,0))</f>
        <v/>
      </c>
      <c r="K33" s="16" t="str">
        <f aca="false">IF(F33="","",IF(TRIM(F33)=INDEX(Codificacion!$H:$H,MATCH($A33,Codificacion!$A:$A,0)),1,0))</f>
        <v/>
      </c>
      <c r="L33" s="16" t="str">
        <f aca="false">IF(G33="","",IF(TRIM(G33)=INDEX(Codificacion!$I:$I,MATCH($A33,Codificacion!$A:$A,0)),1,0))</f>
        <v/>
      </c>
      <c r="M33" s="16" t="str">
        <f aca="false">IF(H33="","",IF(TRIM(H33)=INDEX(Codificacion!$J:$J,MATCH($A33,Codificacion!$A:$A,0)),1,0))</f>
        <v/>
      </c>
      <c r="N33" s="16" t="str">
        <f aca="false">IF(I33="","",IF(TRIM(I33)=INDEX(Codificacion!$N:$N,MATCH($A33,Codificacion!$A:$A,0)),1,0))</f>
        <v/>
      </c>
    </row>
    <row r="34" customFormat="false" ht="45.75" hidden="false" customHeight="true" outlineLevel="0" collapsed="false">
      <c r="A34" s="4" t="s">
        <v>792</v>
      </c>
      <c r="B34" s="4" t="s">
        <v>759</v>
      </c>
      <c r="C34" s="4" t="s">
        <v>793</v>
      </c>
      <c r="D34" s="4" t="s">
        <v>794</v>
      </c>
      <c r="E34" s="27"/>
      <c r="F34" s="27"/>
      <c r="G34" s="27"/>
      <c r="H34" s="27"/>
      <c r="I34" s="27"/>
      <c r="J34" s="16" t="str">
        <f aca="false">IF(E34="","",IF(TRIM(E34)=INDEX(Codificacion!$G:$G,MATCH($A34,Codificacion!$A:$A,0)),1,0))</f>
        <v/>
      </c>
      <c r="K34" s="16" t="str">
        <f aca="false">IF(F34="","",IF(TRIM(F34)=INDEX(Codificacion!$H:$H,MATCH($A34,Codificacion!$A:$A,0)),1,0))</f>
        <v/>
      </c>
      <c r="L34" s="16" t="str">
        <f aca="false">IF(G34="","",IF(TRIM(G34)=INDEX(Codificacion!$I:$I,MATCH($A34,Codificacion!$A:$A,0)),1,0))</f>
        <v/>
      </c>
      <c r="M34" s="16" t="str">
        <f aca="false">IF(H34="","",IF(TRIM(H34)=INDEX(Codificacion!$J:$J,MATCH($A34,Codificacion!$A:$A,0)),1,0))</f>
        <v/>
      </c>
      <c r="N34" s="16" t="str">
        <f aca="false">IF(I34="","",IF(TRIM(I34)=INDEX(Codificacion!$N:$N,MATCH($A34,Codificacion!$A:$A,0)),1,0))</f>
        <v/>
      </c>
    </row>
    <row r="35" customFormat="false" ht="34.5" hidden="false" customHeight="true" outlineLevel="0" collapsed="false">
      <c r="A35" s="4" t="s">
        <v>803</v>
      </c>
      <c r="B35" s="4" t="s">
        <v>759</v>
      </c>
      <c r="C35" s="4" t="s">
        <v>750</v>
      </c>
      <c r="D35" s="4" t="s">
        <v>804</v>
      </c>
      <c r="E35" s="27"/>
      <c r="F35" s="27"/>
      <c r="G35" s="27"/>
      <c r="H35" s="27"/>
      <c r="I35" s="27"/>
      <c r="J35" s="16" t="str">
        <f aca="false">IF(E35="","",IF(TRIM(E35)=INDEX(Codificacion!$G:$G,MATCH($A35,Codificacion!$A:$A,0)),1,0))</f>
        <v/>
      </c>
      <c r="K35" s="16" t="str">
        <f aca="false">IF(F35="","",IF(TRIM(F35)=INDEX(Codificacion!$H:$H,MATCH($A35,Codificacion!$A:$A,0)),1,0))</f>
        <v/>
      </c>
      <c r="L35" s="16" t="str">
        <f aca="false">IF(G35="","",IF(TRIM(G35)=INDEX(Codificacion!$I:$I,MATCH($A35,Codificacion!$A:$A,0)),1,0))</f>
        <v/>
      </c>
      <c r="M35" s="16" t="str">
        <f aca="false">IF(H35="","",IF(TRIM(H35)=INDEX(Codificacion!$J:$J,MATCH($A35,Codificacion!$A:$A,0)),1,0))</f>
        <v/>
      </c>
      <c r="N35" s="16" t="str">
        <f aca="false">IF(I35="","",IF(TRIM(I35)=INDEX(Codificacion!$N:$N,MATCH($A35,Codificacion!$A:$A,0)),1,0))</f>
        <v/>
      </c>
    </row>
    <row r="36" customFormat="false" ht="34.5" hidden="false" customHeight="true" outlineLevel="0" collapsed="false">
      <c r="A36" s="4" t="s">
        <v>815</v>
      </c>
      <c r="B36" s="4" t="s">
        <v>817</v>
      </c>
      <c r="C36" s="4" t="s">
        <v>818</v>
      </c>
      <c r="D36" s="4" t="s">
        <v>820</v>
      </c>
      <c r="E36" s="27"/>
      <c r="F36" s="27"/>
      <c r="G36" s="27"/>
      <c r="H36" s="27"/>
      <c r="I36" s="27"/>
      <c r="J36" s="16" t="str">
        <f aca="false">IF(E36="","",IF(TRIM(E36)=INDEX(Codificacion!$G:$G,MATCH($A36,Codificacion!$A:$A,0)),1,0))</f>
        <v/>
      </c>
      <c r="K36" s="16" t="str">
        <f aca="false">IF(F36="","",IF(TRIM(F36)=INDEX(Codificacion!$H:$H,MATCH($A36,Codificacion!$A:$A,0)),1,0))</f>
        <v/>
      </c>
      <c r="L36" s="16" t="str">
        <f aca="false">IF(G36="","",IF(TRIM(G36)=INDEX(Codificacion!$I:$I,MATCH($A36,Codificacion!$A:$A,0)),1,0))</f>
        <v/>
      </c>
      <c r="M36" s="16" t="str">
        <f aca="false">IF(H36="","",IF(TRIM(H36)=INDEX(Codificacion!$J:$J,MATCH($A36,Codificacion!$A:$A,0)),1,0))</f>
        <v/>
      </c>
      <c r="N36" s="16" t="str">
        <f aca="false">IF(I36="","",IF(TRIM(I36)=INDEX(Codificacion!$N:$N,MATCH($A36,Codificacion!$A:$A,0)),1,0))</f>
        <v/>
      </c>
    </row>
    <row r="37" customFormat="false" ht="34.5" hidden="false" customHeight="true" outlineLevel="0" collapsed="false">
      <c r="A37" s="4" t="s">
        <v>856</v>
      </c>
      <c r="B37" s="4" t="s">
        <v>817</v>
      </c>
      <c r="C37" s="4" t="s">
        <v>857</v>
      </c>
      <c r="D37" s="4" t="s">
        <v>858</v>
      </c>
      <c r="E37" s="27"/>
      <c r="F37" s="27"/>
      <c r="G37" s="27"/>
      <c r="H37" s="27"/>
      <c r="I37" s="27"/>
      <c r="J37" s="16" t="str">
        <f aca="false">IF(E37="","",IF(TRIM(E37)=INDEX(Codificacion!$G:$G,MATCH($A37,Codificacion!$A:$A,0)),1,0))</f>
        <v/>
      </c>
      <c r="K37" s="16" t="str">
        <f aca="false">IF(F37="","",IF(TRIM(F37)=INDEX(Codificacion!$H:$H,MATCH($A37,Codificacion!$A:$A,0)),1,0))</f>
        <v/>
      </c>
      <c r="L37" s="16" t="str">
        <f aca="false">IF(G37="","",IF(TRIM(G37)=INDEX(Codificacion!$I:$I,MATCH($A37,Codificacion!$A:$A,0)),1,0))</f>
        <v/>
      </c>
      <c r="M37" s="16" t="str">
        <f aca="false">IF(H37="","",IF(TRIM(H37)=INDEX(Codificacion!$J:$J,MATCH($A37,Codificacion!$A:$A,0)),1,0))</f>
        <v/>
      </c>
      <c r="N37" s="16" t="str">
        <f aca="false">IF(I37="","",IF(TRIM(I37)=INDEX(Codificacion!$N:$N,MATCH($A37,Codificacion!$A:$A,0)),1,0))</f>
        <v/>
      </c>
    </row>
    <row r="38" customFormat="false" ht="34.5" hidden="false" customHeight="true" outlineLevel="0" collapsed="false">
      <c r="A38" s="4" t="s">
        <v>865</v>
      </c>
      <c r="B38" s="4" t="s">
        <v>817</v>
      </c>
      <c r="C38" s="4" t="s">
        <v>866</v>
      </c>
      <c r="D38" s="4" t="s">
        <v>867</v>
      </c>
      <c r="E38" s="27"/>
      <c r="F38" s="27"/>
      <c r="G38" s="27"/>
      <c r="H38" s="27"/>
      <c r="I38" s="27"/>
      <c r="J38" s="16" t="str">
        <f aca="false">IF(E38="","",IF(TRIM(E38)=INDEX(Codificacion!$G:$G,MATCH($A38,Codificacion!$A:$A,0)),1,0))</f>
        <v/>
      </c>
      <c r="K38" s="16" t="str">
        <f aca="false">IF(F38="","",IF(TRIM(F38)=INDEX(Codificacion!$H:$H,MATCH($A38,Codificacion!$A:$A,0)),1,0))</f>
        <v/>
      </c>
      <c r="L38" s="16" t="str">
        <f aca="false">IF(G38="","",IF(TRIM(G38)=INDEX(Codificacion!$I:$I,MATCH($A38,Codificacion!$A:$A,0)),1,0))</f>
        <v/>
      </c>
      <c r="M38" s="16" t="str">
        <f aca="false">IF(H38="","",IF(TRIM(H38)=INDEX(Codificacion!$J:$J,MATCH($A38,Codificacion!$A:$A,0)),1,0))</f>
        <v/>
      </c>
      <c r="N38" s="16" t="str">
        <f aca="false">IF(I38="","",IF(TRIM(I38)=INDEX(Codificacion!$N:$N,MATCH($A38,Codificacion!$A:$A,0)),1,0))</f>
        <v/>
      </c>
    </row>
    <row r="39" customFormat="false" ht="90.75" hidden="false" customHeight="true" outlineLevel="0" collapsed="false">
      <c r="A39" s="4" t="s">
        <v>884</v>
      </c>
      <c r="B39" s="4" t="s">
        <v>817</v>
      </c>
      <c r="C39" s="4" t="s">
        <v>885</v>
      </c>
      <c r="D39" s="4" t="s">
        <v>887</v>
      </c>
      <c r="E39" s="27"/>
      <c r="F39" s="27"/>
      <c r="G39" s="27"/>
      <c r="H39" s="27"/>
      <c r="I39" s="27"/>
      <c r="J39" s="16" t="str">
        <f aca="false">IF(E39="","",IF(TRIM(E39)=INDEX(Codificacion!$G:$G,MATCH($A39,Codificacion!$A:$A,0)),1,0))</f>
        <v/>
      </c>
      <c r="K39" s="16" t="str">
        <f aca="false">IF(F39="","",IF(TRIM(F39)=INDEX(Codificacion!$H:$H,MATCH($A39,Codificacion!$A:$A,0)),1,0))</f>
        <v/>
      </c>
      <c r="L39" s="16" t="str">
        <f aca="false">IF(G39="","",IF(TRIM(G39)=INDEX(Codificacion!$I:$I,MATCH($A39,Codificacion!$A:$A,0)),1,0))</f>
        <v/>
      </c>
      <c r="M39" s="16" t="str">
        <f aca="false">IF(H39="","",IF(TRIM(H39)=INDEX(Codificacion!$J:$J,MATCH($A39,Codificacion!$A:$A,0)),1,0))</f>
        <v/>
      </c>
      <c r="N39" s="16" t="str">
        <f aca="false">IF(I39="","",IF(TRIM(I39)=INDEX(Codificacion!$N:$N,MATCH($A39,Codificacion!$A:$A,0)),1,0))</f>
        <v/>
      </c>
    </row>
    <row r="40" customFormat="false" ht="23.25" hidden="false" customHeight="true" outlineLevel="0" collapsed="false">
      <c r="A40" s="4" t="s">
        <v>895</v>
      </c>
      <c r="B40" s="4" t="s">
        <v>897</v>
      </c>
      <c r="C40" s="4" t="s">
        <v>898</v>
      </c>
      <c r="D40" s="4" t="s">
        <v>899</v>
      </c>
      <c r="E40" s="27"/>
      <c r="F40" s="27"/>
      <c r="G40" s="27"/>
      <c r="H40" s="27"/>
      <c r="I40" s="27"/>
      <c r="J40" s="16" t="str">
        <f aca="false">IF(E40="","",IF(TRIM(E40)=INDEX(Codificacion!$G:$G,MATCH($A40,Codificacion!$A:$A,0)),1,0))</f>
        <v/>
      </c>
      <c r="K40" s="16" t="str">
        <f aca="false">IF(F40="","",IF(TRIM(F40)=INDEX(Codificacion!$H:$H,MATCH($A40,Codificacion!$A:$A,0)),1,0))</f>
        <v/>
      </c>
      <c r="L40" s="16" t="str">
        <f aca="false">IF(G40="","",IF(TRIM(G40)=INDEX(Codificacion!$I:$I,MATCH($A40,Codificacion!$A:$A,0)),1,0))</f>
        <v/>
      </c>
      <c r="M40" s="16" t="str">
        <f aca="false">IF(H40="","",IF(TRIM(H40)=INDEX(Codificacion!$J:$J,MATCH($A40,Codificacion!$A:$A,0)),1,0))</f>
        <v/>
      </c>
      <c r="N40" s="16" t="str">
        <f aca="false">IF(I40="","",IF(TRIM(I40)=INDEX(Codificacion!$N:$N,MATCH($A40,Codificacion!$A:$A,0)),1,0))</f>
        <v/>
      </c>
    </row>
    <row r="41" customFormat="false" ht="34.5" hidden="false" customHeight="true" outlineLevel="0" collapsed="false">
      <c r="A41" s="4" t="s">
        <v>917</v>
      </c>
      <c r="B41" s="4" t="s">
        <v>897</v>
      </c>
      <c r="C41" s="4" t="s">
        <v>835</v>
      </c>
      <c r="D41" s="4" t="s">
        <v>918</v>
      </c>
      <c r="E41" s="27"/>
      <c r="F41" s="27"/>
      <c r="G41" s="27"/>
      <c r="H41" s="27"/>
      <c r="I41" s="27"/>
      <c r="J41" s="16" t="str">
        <f aca="false">IF(E41="","",IF(TRIM(E41)=INDEX(Codificacion!$G:$G,MATCH($A41,Codificacion!$A:$A,0)),1,0))</f>
        <v/>
      </c>
      <c r="K41" s="16" t="str">
        <f aca="false">IF(F41="","",IF(TRIM(F41)=INDEX(Codificacion!$H:$H,MATCH($A41,Codificacion!$A:$A,0)),1,0))</f>
        <v/>
      </c>
      <c r="L41" s="16" t="str">
        <f aca="false">IF(G41="","",IF(TRIM(G41)=INDEX(Codificacion!$I:$I,MATCH($A41,Codificacion!$A:$A,0)),1,0))</f>
        <v/>
      </c>
      <c r="M41" s="16" t="str">
        <f aca="false">IF(H41="","",IF(TRIM(H41)=INDEX(Codificacion!$J:$J,MATCH($A41,Codificacion!$A:$A,0)),1,0))</f>
        <v/>
      </c>
      <c r="N41" s="16" t="str">
        <f aca="false">IF(I41="","",IF(TRIM(I41)=INDEX(Codificacion!$N:$N,MATCH($A41,Codificacion!$A:$A,0)),1,0))</f>
        <v/>
      </c>
    </row>
    <row r="42" customFormat="false" ht="68.25" hidden="false" customHeight="true" outlineLevel="0" collapsed="false">
      <c r="A42" s="4" t="s">
        <v>968</v>
      </c>
      <c r="B42" s="4" t="s">
        <v>953</v>
      </c>
      <c r="C42" s="4" t="s">
        <v>969</v>
      </c>
      <c r="D42" s="4" t="s">
        <v>970</v>
      </c>
      <c r="E42" s="27"/>
      <c r="F42" s="27"/>
      <c r="G42" s="27"/>
      <c r="H42" s="27"/>
      <c r="I42" s="27"/>
      <c r="J42" s="16" t="str">
        <f aca="false">IF(E42="","",IF(TRIM(E42)=INDEX(Codificacion!$G:$G,MATCH($A42,Codificacion!$A:$A,0)),1,0))</f>
        <v/>
      </c>
      <c r="K42" s="16" t="str">
        <f aca="false">IF(F42="","",IF(TRIM(F42)=INDEX(Codificacion!$H:$H,MATCH($A42,Codificacion!$A:$A,0)),1,0))</f>
        <v/>
      </c>
      <c r="L42" s="16" t="str">
        <f aca="false">IF(G42="","",IF(TRIM(G42)=INDEX(Codificacion!$I:$I,MATCH($A42,Codificacion!$A:$A,0)),1,0))</f>
        <v/>
      </c>
      <c r="M42" s="16" t="str">
        <f aca="false">IF(H42="","",IF(TRIM(H42)=INDEX(Codificacion!$J:$J,MATCH($A42,Codificacion!$A:$A,0)),1,0))</f>
        <v/>
      </c>
      <c r="N42" s="16" t="str">
        <f aca="false">IF(I42="","",IF(TRIM(I42)=INDEX(Codificacion!$N:$N,MATCH($A42,Codificacion!$A:$A,0)),1,0))</f>
        <v/>
      </c>
    </row>
    <row r="43" customFormat="false" ht="23.25" hidden="false" customHeight="true" outlineLevel="0" collapsed="false">
      <c r="A43" s="4" t="s">
        <v>976</v>
      </c>
      <c r="B43" s="4" t="s">
        <v>953</v>
      </c>
      <c r="C43" s="4" t="s">
        <v>977</v>
      </c>
      <c r="D43" s="4" t="s">
        <v>979</v>
      </c>
      <c r="E43" s="27"/>
      <c r="F43" s="27"/>
      <c r="G43" s="27"/>
      <c r="H43" s="27"/>
      <c r="I43" s="27"/>
      <c r="J43" s="16" t="str">
        <f aca="false">IF(E43="","",IF(TRIM(E43)=INDEX(Codificacion!$G:$G,MATCH($A43,Codificacion!$A:$A,0)),1,0))</f>
        <v/>
      </c>
      <c r="K43" s="16" t="str">
        <f aca="false">IF(F43="","",IF(TRIM(F43)=INDEX(Codificacion!$H:$H,MATCH($A43,Codificacion!$A:$A,0)),1,0))</f>
        <v/>
      </c>
      <c r="L43" s="16" t="str">
        <f aca="false">IF(G43="","",IF(TRIM(G43)=INDEX(Codificacion!$I:$I,MATCH($A43,Codificacion!$A:$A,0)),1,0))</f>
        <v/>
      </c>
      <c r="M43" s="16" t="str">
        <f aca="false">IF(H43="","",IF(TRIM(H43)=INDEX(Codificacion!$J:$J,MATCH($A43,Codificacion!$A:$A,0)),1,0))</f>
        <v/>
      </c>
      <c r="N43" s="16" t="str">
        <f aca="false">IF(I43="","",IF(TRIM(I43)=INDEX(Codificacion!$N:$N,MATCH($A43,Codificacion!$A:$A,0)),1,0))</f>
        <v/>
      </c>
    </row>
    <row r="44" customFormat="false" ht="34.5" hidden="false" customHeight="true" outlineLevel="0" collapsed="false">
      <c r="A44" s="4" t="s">
        <v>989</v>
      </c>
      <c r="B44" s="4" t="s">
        <v>953</v>
      </c>
      <c r="C44" s="4" t="s">
        <v>990</v>
      </c>
      <c r="D44" s="4" t="s">
        <v>992</v>
      </c>
      <c r="E44" s="27"/>
      <c r="F44" s="27"/>
      <c r="G44" s="27"/>
      <c r="H44" s="27"/>
      <c r="I44" s="27"/>
      <c r="J44" s="16" t="str">
        <f aca="false">IF(E44="","",IF(TRIM(E44)=INDEX(Codificacion!$G:$G,MATCH($A44,Codificacion!$A:$A,0)),1,0))</f>
        <v/>
      </c>
      <c r="K44" s="16" t="str">
        <f aca="false">IF(F44="","",IF(TRIM(F44)=INDEX(Codificacion!$H:$H,MATCH($A44,Codificacion!$A:$A,0)),1,0))</f>
        <v/>
      </c>
      <c r="L44" s="16" t="str">
        <f aca="false">IF(G44="","",IF(TRIM(G44)=INDEX(Codificacion!$I:$I,MATCH($A44,Codificacion!$A:$A,0)),1,0))</f>
        <v/>
      </c>
      <c r="M44" s="16" t="str">
        <f aca="false">IF(H44="","",IF(TRIM(H44)=INDEX(Codificacion!$J:$J,MATCH($A44,Codificacion!$A:$A,0)),1,0))</f>
        <v/>
      </c>
      <c r="N44" s="16" t="str">
        <f aca="false">IF(I44="","",IF(TRIM(I44)=INDEX(Codificacion!$N:$N,MATCH($A44,Codificacion!$A:$A,0)),1,0))</f>
        <v/>
      </c>
    </row>
  </sheetData>
  <dataValidations count="4">
    <dataValidation allowBlank="true" errorStyle="stop" operator="between" showDropDown="false" showErrorMessage="false" showInputMessage="false" sqref="E10:E44" type="list">
      <formula1>Libro_codigos!$G$2:$G$10</formula1>
      <formula2>0</formula2>
    </dataValidation>
    <dataValidation allowBlank="true" errorStyle="stop" operator="between" showDropDown="false" showErrorMessage="false" showInputMessage="false" sqref="G10:G44" type="list">
      <formula1>Libro_codigos!$H$2:$H$12</formula1>
      <formula2>0</formula2>
    </dataValidation>
    <dataValidation allowBlank="true" errorStyle="stop" operator="between" showDropDown="false" showErrorMessage="false" showInputMessage="false" sqref="H10:H44" type="list">
      <formula1>Libro_codigos!$I$2:$I$9</formula1>
      <formula2>0</formula2>
    </dataValidation>
    <dataValidation allowBlank="true" errorStyle="stop" operator="between" showDropDown="false" showErrorMessage="false" showInputMessage="false" sqref="I10:I44" type="list">
      <formula1>Libro_codigos!$L$2:$L$4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20"/>
    <col collapsed="false" customWidth="true" hidden="false" outlineLevel="0" max="3" min="3" style="1" width="16"/>
    <col collapsed="false" customWidth="true" hidden="false" outlineLevel="0" max="4" min="4" style="1" width="26"/>
    <col collapsed="false" customWidth="true" hidden="false" outlineLevel="0" max="5" min="5" style="1" width="14"/>
    <col collapsed="false" customWidth="true" hidden="false" outlineLevel="0" max="6" min="6" style="1" width="70"/>
  </cols>
  <sheetData>
    <row r="1" customFormat="false" ht="23.25" hidden="false" customHeight="true" outlineLevel="0" collapsed="false">
      <c r="A1" s="7" t="s">
        <v>1079</v>
      </c>
      <c r="B1" s="7" t="s">
        <v>1080</v>
      </c>
      <c r="C1" s="7" t="s">
        <v>1081</v>
      </c>
      <c r="D1" s="7" t="s">
        <v>1082</v>
      </c>
      <c r="E1" s="7" t="s">
        <v>1083</v>
      </c>
      <c r="F1" s="7" t="s">
        <v>1084</v>
      </c>
    </row>
    <row r="2" customFormat="false" ht="15" hidden="false" customHeight="true" outlineLevel="0" collapsed="false">
      <c r="A2" s="4" t="s">
        <v>195</v>
      </c>
      <c r="B2" s="4" t="s">
        <v>194</v>
      </c>
      <c r="C2" s="4" t="s">
        <v>55</v>
      </c>
      <c r="D2" s="4" t="s">
        <v>197</v>
      </c>
      <c r="E2" s="4" t="n">
        <f aca="false">COUNTIF(Codificacion!$C$2:$C$177,A2)</f>
        <v>9</v>
      </c>
      <c r="F2" s="4" t="s">
        <v>200</v>
      </c>
    </row>
    <row r="3" customFormat="false" ht="15" hidden="false" customHeight="true" outlineLevel="0" collapsed="false">
      <c r="A3" s="4" t="s">
        <v>242</v>
      </c>
      <c r="B3" s="4" t="s">
        <v>194</v>
      </c>
      <c r="C3" s="4" t="s">
        <v>66</v>
      </c>
      <c r="D3" s="4" t="s">
        <v>197</v>
      </c>
      <c r="E3" s="4" t="n">
        <f aca="false">COUNTIF(Codificacion!$C$2:$C$177,A3)</f>
        <v>10</v>
      </c>
      <c r="F3" s="4" t="s">
        <v>246</v>
      </c>
    </row>
    <row r="4" customFormat="false" ht="15" hidden="false" customHeight="true" outlineLevel="0" collapsed="false">
      <c r="A4" s="4" t="s">
        <v>286</v>
      </c>
      <c r="B4" s="4" t="s">
        <v>194</v>
      </c>
      <c r="C4" s="4" t="s">
        <v>75</v>
      </c>
      <c r="D4" s="4" t="s">
        <v>197</v>
      </c>
      <c r="E4" s="4" t="n">
        <f aca="false">COUNTIF(Codificacion!$C$2:$C$177,A4)</f>
        <v>1</v>
      </c>
      <c r="F4" s="4" t="s">
        <v>289</v>
      </c>
    </row>
    <row r="5" customFormat="false" ht="15" hidden="false" customHeight="true" outlineLevel="0" collapsed="false">
      <c r="A5" s="4" t="s">
        <v>292</v>
      </c>
      <c r="B5" s="4" t="s">
        <v>194</v>
      </c>
      <c r="C5" s="4" t="s">
        <v>75</v>
      </c>
      <c r="D5" s="4" t="s">
        <v>197</v>
      </c>
      <c r="E5" s="4" t="n">
        <f aca="false">COUNTIF(Codificacion!$C$2:$C$177,A5)</f>
        <v>4</v>
      </c>
      <c r="F5" s="4" t="s">
        <v>296</v>
      </c>
    </row>
    <row r="6" customFormat="false" ht="15" hidden="false" customHeight="true" outlineLevel="0" collapsed="false">
      <c r="A6" s="4" t="s">
        <v>316</v>
      </c>
      <c r="B6" s="4" t="s">
        <v>315</v>
      </c>
      <c r="C6" s="4" t="s">
        <v>75</v>
      </c>
      <c r="D6" s="4" t="s">
        <v>197</v>
      </c>
      <c r="E6" s="4" t="n">
        <f aca="false">COUNTIF(Codificacion!$C$2:$C$177,A6)</f>
        <v>2</v>
      </c>
      <c r="F6" s="4" t="s">
        <v>319</v>
      </c>
    </row>
    <row r="7" customFormat="false" ht="15" hidden="false" customHeight="true" outlineLevel="0" collapsed="false">
      <c r="A7" s="4" t="s">
        <v>327</v>
      </c>
      <c r="B7" s="4" t="s">
        <v>315</v>
      </c>
      <c r="C7" s="4" t="s">
        <v>75</v>
      </c>
      <c r="D7" s="4" t="s">
        <v>197</v>
      </c>
      <c r="E7" s="4" t="n">
        <f aca="false">COUNTIF(Codificacion!$C$2:$C$177,A7)</f>
        <v>4</v>
      </c>
      <c r="F7" s="4" t="s">
        <v>331</v>
      </c>
    </row>
    <row r="8" customFormat="false" ht="34.5" hidden="false" customHeight="true" outlineLevel="0" collapsed="false">
      <c r="A8" s="4" t="s">
        <v>343</v>
      </c>
      <c r="B8" s="4" t="s">
        <v>315</v>
      </c>
      <c r="C8" s="4" t="s">
        <v>66</v>
      </c>
      <c r="D8" s="4" t="s">
        <v>345</v>
      </c>
      <c r="E8" s="4" t="n">
        <f aca="false">COUNTIF(Codificacion!$C$2:$C$177,A8)</f>
        <v>8</v>
      </c>
      <c r="F8" s="4" t="s">
        <v>347</v>
      </c>
    </row>
    <row r="9" customFormat="false" ht="34.5" hidden="false" customHeight="true" outlineLevel="0" collapsed="false">
      <c r="A9" s="4" t="s">
        <v>384</v>
      </c>
      <c r="B9" s="4" t="s">
        <v>315</v>
      </c>
      <c r="C9" s="4" t="s">
        <v>66</v>
      </c>
      <c r="D9" s="4" t="s">
        <v>345</v>
      </c>
      <c r="E9" s="4" t="n">
        <f aca="false">COUNTIF(Codificacion!$C$2:$C$177,A9)</f>
        <v>1</v>
      </c>
      <c r="F9" s="4" t="s">
        <v>347</v>
      </c>
    </row>
    <row r="10" customFormat="false" ht="15" hidden="false" customHeight="true" outlineLevel="0" collapsed="false">
      <c r="A10" s="4" t="s">
        <v>390</v>
      </c>
      <c r="B10" s="4" t="s">
        <v>389</v>
      </c>
      <c r="C10" s="4" t="s">
        <v>44</v>
      </c>
      <c r="D10" s="4" t="s">
        <v>392</v>
      </c>
      <c r="E10" s="4" t="n">
        <f aca="false">COUNTIF(Codificacion!$C$2:$C$177,A10)</f>
        <v>28</v>
      </c>
      <c r="F10" s="4" t="s">
        <v>395</v>
      </c>
    </row>
    <row r="11" customFormat="false" ht="45.75" hidden="false" customHeight="true" outlineLevel="0" collapsed="false">
      <c r="A11" s="4" t="s">
        <v>531</v>
      </c>
      <c r="B11" s="4" t="s">
        <v>530</v>
      </c>
      <c r="C11" s="4" t="s">
        <v>83</v>
      </c>
      <c r="D11" s="4" t="s">
        <v>533</v>
      </c>
      <c r="E11" s="4" t="n">
        <f aca="false">COUNTIF(Codificacion!$C$2:$C$177,A11)</f>
        <v>22</v>
      </c>
      <c r="F11" s="4" t="s">
        <v>535</v>
      </c>
    </row>
    <row r="12" customFormat="false" ht="34.5" hidden="false" customHeight="true" outlineLevel="0" collapsed="false">
      <c r="A12" s="4" t="s">
        <v>631</v>
      </c>
      <c r="B12" s="4" t="s">
        <v>530</v>
      </c>
      <c r="C12" s="4" t="s">
        <v>83</v>
      </c>
      <c r="D12" s="4" t="s">
        <v>633</v>
      </c>
      <c r="E12" s="4" t="n">
        <f aca="false">COUNTIF(Codificacion!$C$2:$C$177,A12)</f>
        <v>14</v>
      </c>
      <c r="F12" s="4" t="s">
        <v>635</v>
      </c>
    </row>
    <row r="13" customFormat="false" ht="15" hidden="false" customHeight="true" outlineLevel="0" collapsed="false">
      <c r="A13" s="4" t="s">
        <v>694</v>
      </c>
      <c r="B13" s="4" t="s">
        <v>389</v>
      </c>
      <c r="C13" s="4" t="s">
        <v>66</v>
      </c>
      <c r="D13" s="4" t="s">
        <v>197</v>
      </c>
      <c r="E13" s="4" t="n">
        <f aca="false">COUNTIF(Codificacion!$C$2:$C$177,A13)</f>
        <v>14</v>
      </c>
      <c r="F13" s="4" t="s">
        <v>697</v>
      </c>
    </row>
    <row r="14" customFormat="false" ht="15" hidden="false" customHeight="true" outlineLevel="0" collapsed="false">
      <c r="A14" s="4" t="s">
        <v>759</v>
      </c>
      <c r="B14" s="4" t="s">
        <v>758</v>
      </c>
      <c r="C14" s="4" t="s">
        <v>44</v>
      </c>
      <c r="D14" s="4" t="s">
        <v>197</v>
      </c>
      <c r="E14" s="4" t="n">
        <f aca="false">COUNTIF(Codificacion!$C$2:$C$177,A14)</f>
        <v>14</v>
      </c>
      <c r="F14" s="4" t="s">
        <v>762</v>
      </c>
    </row>
    <row r="15" customFormat="false" ht="15" hidden="false" customHeight="true" outlineLevel="0" collapsed="false">
      <c r="A15" s="4" t="s">
        <v>817</v>
      </c>
      <c r="B15" s="4" t="s">
        <v>816</v>
      </c>
      <c r="C15" s="4" t="s">
        <v>44</v>
      </c>
      <c r="D15" s="4" t="s">
        <v>819</v>
      </c>
      <c r="E15" s="4" t="n">
        <f aca="false">COUNTIF(Codificacion!$C$2:$C$177,A15)</f>
        <v>17</v>
      </c>
      <c r="F15" s="4" t="s">
        <v>821</v>
      </c>
    </row>
    <row r="16" customFormat="false" ht="15" hidden="false" customHeight="true" outlineLevel="0" collapsed="false">
      <c r="A16" s="4" t="s">
        <v>897</v>
      </c>
      <c r="B16" s="4" t="s">
        <v>896</v>
      </c>
      <c r="C16" s="4" t="s">
        <v>44</v>
      </c>
      <c r="D16" s="4" t="s">
        <v>197</v>
      </c>
      <c r="E16" s="4" t="n">
        <f aca="false">COUNTIF(Codificacion!$C$2:$C$177,A16)</f>
        <v>10</v>
      </c>
      <c r="F16" s="4" t="s">
        <v>900</v>
      </c>
    </row>
    <row r="17" customFormat="false" ht="15" hidden="false" customHeight="true" outlineLevel="0" collapsed="false">
      <c r="A17" s="4" t="s">
        <v>940</v>
      </c>
      <c r="B17" s="4" t="s">
        <v>939</v>
      </c>
      <c r="C17" s="4" t="s">
        <v>44</v>
      </c>
      <c r="D17" s="4" t="s">
        <v>942</v>
      </c>
      <c r="E17" s="4" t="n">
        <f aca="false">COUNTIF(Codificacion!$C$2:$C$177,A17)</f>
        <v>2</v>
      </c>
      <c r="F17" s="4" t="s">
        <v>945</v>
      </c>
    </row>
    <row r="18" customFormat="false" ht="15" hidden="false" customHeight="true" outlineLevel="0" collapsed="false">
      <c r="A18" s="4" t="s">
        <v>953</v>
      </c>
      <c r="B18" s="4" t="s">
        <v>952</v>
      </c>
      <c r="C18" s="4" t="s">
        <v>66</v>
      </c>
      <c r="D18" s="4" t="s">
        <v>197</v>
      </c>
      <c r="E18" s="4" t="n">
        <f aca="false">COUNTIF(Codificacion!$C$2:$C$177,A18)</f>
        <v>16</v>
      </c>
      <c r="F18" s="4" t="s">
        <v>957</v>
      </c>
    </row>
    <row r="19" customFormat="false" ht="15" hidden="false" customHeight="true" outlineLevel="0" collapsed="false">
      <c r="A19" s="10" t="s">
        <v>1085</v>
      </c>
      <c r="B19" s="10" t="s">
        <v>816</v>
      </c>
      <c r="C19" s="10" t="s">
        <v>44</v>
      </c>
      <c r="D19" s="10" t="s">
        <v>1086</v>
      </c>
      <c r="E19" s="10" t="n">
        <v>0</v>
      </c>
      <c r="F19" s="10" t="s">
        <v>1087</v>
      </c>
    </row>
    <row r="20" customFormat="false" ht="15" hidden="false" customHeight="true" outlineLevel="0" collapsed="false">
      <c r="A20" s="10" t="s">
        <v>1088</v>
      </c>
      <c r="B20" s="10" t="s">
        <v>939</v>
      </c>
      <c r="C20" s="10" t="s">
        <v>44</v>
      </c>
      <c r="D20" s="10" t="s">
        <v>1089</v>
      </c>
      <c r="E20" s="10" t="n">
        <v>0</v>
      </c>
      <c r="F20" s="10" t="s">
        <v>1090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34"/>
    <col collapsed="false" customWidth="true" hidden="false" outlineLevel="0" max="4" min="4" style="1" width="22"/>
    <col collapsed="false" customWidth="true" hidden="false" outlineLevel="0" max="5" min="5" style="1" width="18"/>
    <col collapsed="false" customWidth="true" hidden="false" outlineLevel="0" max="6" min="6" style="1" width="34"/>
    <col collapsed="false" customWidth="true" hidden="false" outlineLevel="0" max="7" min="7" style="1" width="38"/>
    <col collapsed="false" customWidth="true" hidden="false" outlineLevel="0" max="8" min="8" style="1" width="14"/>
    <col collapsed="false" customWidth="true" hidden="false" outlineLevel="0" max="9" min="9" style="1" width="12"/>
    <col collapsed="false" customWidth="true" hidden="false" outlineLevel="0" max="10" min="10" style="1" width="18"/>
    <col collapsed="false" customWidth="true" hidden="false" outlineLevel="0" max="11" min="11" style="1" width="28"/>
    <col collapsed="false" customWidth="true" hidden="false" outlineLevel="0" max="12" min="12" style="1" width="34"/>
    <col collapsed="false" customWidth="true" hidden="false" outlineLevel="0" max="14" min="13" style="1" width="48"/>
    <col collapsed="false" customWidth="true" hidden="false" outlineLevel="0" max="15" min="15" style="1" width="40"/>
    <col collapsed="false" customWidth="true" hidden="false" outlineLevel="0" max="26" min="16" style="1" width="7"/>
  </cols>
  <sheetData>
    <row r="1" customFormat="false" ht="23.25" hidden="false" customHeight="true" outlineLevel="0" collapsed="false">
      <c r="A1" s="15" t="s">
        <v>41</v>
      </c>
      <c r="B1" s="15" t="s">
        <v>52</v>
      </c>
      <c r="C1" s="15" t="s">
        <v>63</v>
      </c>
      <c r="D1" s="15" t="s">
        <v>73</v>
      </c>
      <c r="E1" s="15" t="s">
        <v>1091</v>
      </c>
      <c r="F1" s="15" t="s">
        <v>1092</v>
      </c>
      <c r="G1" s="15" t="s">
        <v>1093</v>
      </c>
      <c r="H1" s="15" t="s">
        <v>1094</v>
      </c>
      <c r="I1" s="15" t="s">
        <v>1095</v>
      </c>
      <c r="J1" s="15" t="s">
        <v>1096</v>
      </c>
      <c r="K1" s="15" t="s">
        <v>1097</v>
      </c>
      <c r="L1" s="15" t="s">
        <v>1098</v>
      </c>
      <c r="M1" s="15" t="s">
        <v>1099</v>
      </c>
      <c r="N1" s="15" t="s">
        <v>1100</v>
      </c>
      <c r="O1" s="15" t="s">
        <v>1101</v>
      </c>
      <c r="P1" s="15" t="s">
        <v>139</v>
      </c>
      <c r="Q1" s="15" t="s">
        <v>142</v>
      </c>
      <c r="R1" s="15" t="s">
        <v>144</v>
      </c>
      <c r="S1" s="15" t="s">
        <v>146</v>
      </c>
      <c r="T1" s="15" t="s">
        <v>148</v>
      </c>
      <c r="U1" s="15" t="s">
        <v>150</v>
      </c>
      <c r="V1" s="15" t="s">
        <v>152</v>
      </c>
      <c r="W1" s="15" t="s">
        <v>154</v>
      </c>
      <c r="X1" s="15" t="s">
        <v>156</v>
      </c>
      <c r="Y1" s="15" t="s">
        <v>158</v>
      </c>
      <c r="Z1" s="15" t="s">
        <v>161</v>
      </c>
    </row>
    <row r="2" customFormat="false" ht="15" hidden="false" customHeight="true" outlineLevel="0" collapsed="false">
      <c r="A2" s="10" t="s">
        <v>193</v>
      </c>
      <c r="B2" s="10" t="s">
        <v>194</v>
      </c>
      <c r="C2" s="10" t="s">
        <v>195</v>
      </c>
      <c r="D2" s="10" t="s">
        <v>196</v>
      </c>
      <c r="E2" s="10" t="s">
        <v>161</v>
      </c>
      <c r="F2" s="10" t="s">
        <v>1102</v>
      </c>
      <c r="G2" s="10" t="s">
        <v>1103</v>
      </c>
      <c r="H2" s="10" t="s">
        <v>169</v>
      </c>
      <c r="I2" s="10" t="s">
        <v>51</v>
      </c>
      <c r="J2" s="10" t="s">
        <v>198</v>
      </c>
      <c r="K2" s="10" t="s">
        <v>198</v>
      </c>
      <c r="L2" s="10" t="s">
        <v>1104</v>
      </c>
      <c r="M2" s="10" t="s">
        <v>1105</v>
      </c>
      <c r="N2" s="10" t="s">
        <v>1106</v>
      </c>
      <c r="O2" s="10" t="s">
        <v>200</v>
      </c>
      <c r="P2" s="10" t="s">
        <v>175</v>
      </c>
      <c r="Q2" s="10" t="s">
        <v>175</v>
      </c>
      <c r="R2" s="10" t="s">
        <v>175</v>
      </c>
      <c r="S2" s="10" t="s">
        <v>175</v>
      </c>
      <c r="T2" s="10" t="s">
        <v>175</v>
      </c>
      <c r="U2" s="10" t="s">
        <v>175</v>
      </c>
      <c r="V2" s="10" t="s">
        <v>175</v>
      </c>
      <c r="W2" s="10" t="s">
        <v>175</v>
      </c>
      <c r="X2" s="10" t="s">
        <v>175</v>
      </c>
      <c r="Y2" s="10" t="s">
        <v>175</v>
      </c>
      <c r="Z2" s="10" t="s">
        <v>169</v>
      </c>
    </row>
    <row r="3" customFormat="false" ht="15" hidden="false" customHeight="true" outlineLevel="0" collapsed="false">
      <c r="A3" s="10" t="s">
        <v>202</v>
      </c>
      <c r="B3" s="10" t="s">
        <v>194</v>
      </c>
      <c r="C3" s="10" t="s">
        <v>195</v>
      </c>
      <c r="D3" s="10" t="s">
        <v>203</v>
      </c>
      <c r="E3" s="10" t="s">
        <v>204</v>
      </c>
      <c r="F3" s="10" t="s">
        <v>1102</v>
      </c>
      <c r="G3" s="10" t="s">
        <v>1107</v>
      </c>
      <c r="H3" s="10" t="s">
        <v>166</v>
      </c>
      <c r="I3" s="10" t="s">
        <v>62</v>
      </c>
      <c r="J3" s="10" t="s">
        <v>1108</v>
      </c>
      <c r="K3" s="10" t="s">
        <v>205</v>
      </c>
      <c r="L3" s="10" t="s">
        <v>1104</v>
      </c>
      <c r="M3" s="10" t="s">
        <v>1105</v>
      </c>
      <c r="N3" s="10" t="s">
        <v>1109</v>
      </c>
      <c r="O3" s="10" t="s">
        <v>200</v>
      </c>
      <c r="P3" s="10" t="s">
        <v>175</v>
      </c>
      <c r="Q3" s="10" t="s">
        <v>175</v>
      </c>
      <c r="R3" s="10" t="s">
        <v>175</v>
      </c>
      <c r="S3" s="10" t="s">
        <v>175</v>
      </c>
      <c r="T3" s="10" t="s">
        <v>175</v>
      </c>
      <c r="U3" s="10" t="s">
        <v>175</v>
      </c>
      <c r="V3" s="10" t="s">
        <v>175</v>
      </c>
      <c r="W3" s="10" t="s">
        <v>175</v>
      </c>
      <c r="X3" s="10" t="s">
        <v>166</v>
      </c>
      <c r="Y3" s="10" t="s">
        <v>166</v>
      </c>
      <c r="Z3" s="10" t="s">
        <v>175</v>
      </c>
    </row>
    <row r="4" customFormat="false" ht="15" hidden="false" customHeight="true" outlineLevel="0" collapsed="false">
      <c r="A4" s="10" t="s">
        <v>209</v>
      </c>
      <c r="B4" s="10" t="s">
        <v>194</v>
      </c>
      <c r="C4" s="10" t="s">
        <v>195</v>
      </c>
      <c r="D4" s="10" t="s">
        <v>210</v>
      </c>
      <c r="E4" s="10" t="s">
        <v>211</v>
      </c>
      <c r="F4" s="10" t="s">
        <v>1102</v>
      </c>
      <c r="G4" s="10" t="s">
        <v>1107</v>
      </c>
      <c r="H4" s="10" t="s">
        <v>169</v>
      </c>
      <c r="I4" s="10" t="s">
        <v>51</v>
      </c>
      <c r="J4" s="10" t="s">
        <v>198</v>
      </c>
      <c r="K4" s="10" t="s">
        <v>198</v>
      </c>
      <c r="L4" s="10" t="s">
        <v>1104</v>
      </c>
      <c r="M4" s="10" t="s">
        <v>1105</v>
      </c>
      <c r="N4" s="10" t="s">
        <v>1106</v>
      </c>
      <c r="O4" s="10" t="s">
        <v>200</v>
      </c>
      <c r="P4" s="10" t="s">
        <v>175</v>
      </c>
      <c r="Q4" s="10" t="s">
        <v>175</v>
      </c>
      <c r="R4" s="10" t="s">
        <v>175</v>
      </c>
      <c r="S4" s="10" t="s">
        <v>175</v>
      </c>
      <c r="T4" s="10" t="s">
        <v>169</v>
      </c>
      <c r="U4" s="10" t="s">
        <v>175</v>
      </c>
      <c r="V4" s="10" t="s">
        <v>175</v>
      </c>
      <c r="W4" s="10" t="s">
        <v>175</v>
      </c>
      <c r="X4" s="10" t="s">
        <v>169</v>
      </c>
      <c r="Y4" s="10" t="s">
        <v>175</v>
      </c>
      <c r="Z4" s="10" t="s">
        <v>175</v>
      </c>
    </row>
    <row r="5" customFormat="false" ht="15" hidden="false" customHeight="true" outlineLevel="0" collapsed="false">
      <c r="A5" s="10" t="s">
        <v>215</v>
      </c>
      <c r="B5" s="10" t="s">
        <v>194</v>
      </c>
      <c r="C5" s="10" t="s">
        <v>195</v>
      </c>
      <c r="D5" s="10" t="s">
        <v>216</v>
      </c>
      <c r="E5" s="10" t="s">
        <v>156</v>
      </c>
      <c r="F5" s="10" t="s">
        <v>1102</v>
      </c>
      <c r="G5" s="10" t="s">
        <v>1107</v>
      </c>
      <c r="H5" s="10" t="s">
        <v>166</v>
      </c>
      <c r="I5" s="10" t="s">
        <v>51</v>
      </c>
      <c r="J5" s="10" t="s">
        <v>1108</v>
      </c>
      <c r="K5" s="10" t="s">
        <v>217</v>
      </c>
      <c r="L5" s="10" t="s">
        <v>1104</v>
      </c>
      <c r="M5" s="10" t="s">
        <v>1105</v>
      </c>
      <c r="N5" s="10" t="s">
        <v>1109</v>
      </c>
      <c r="O5" s="10" t="s">
        <v>200</v>
      </c>
      <c r="P5" s="10" t="s">
        <v>175</v>
      </c>
      <c r="Q5" s="10" t="s">
        <v>175</v>
      </c>
      <c r="R5" s="10" t="s">
        <v>175</v>
      </c>
      <c r="S5" s="10" t="s">
        <v>175</v>
      </c>
      <c r="T5" s="10" t="s">
        <v>175</v>
      </c>
      <c r="U5" s="10" t="s">
        <v>175</v>
      </c>
      <c r="V5" s="10" t="s">
        <v>175</v>
      </c>
      <c r="W5" s="10" t="s">
        <v>175</v>
      </c>
      <c r="X5" s="10" t="s">
        <v>166</v>
      </c>
      <c r="Y5" s="10" t="s">
        <v>175</v>
      </c>
      <c r="Z5" s="10" t="s">
        <v>175</v>
      </c>
    </row>
    <row r="6" customFormat="false" ht="15" hidden="false" customHeight="true" outlineLevel="0" collapsed="false">
      <c r="A6" s="10" t="s">
        <v>220</v>
      </c>
      <c r="B6" s="10" t="s">
        <v>194</v>
      </c>
      <c r="C6" s="10" t="s">
        <v>195</v>
      </c>
      <c r="D6" s="10" t="s">
        <v>216</v>
      </c>
      <c r="E6" s="10" t="s">
        <v>156</v>
      </c>
      <c r="F6" s="10" t="s">
        <v>1102</v>
      </c>
      <c r="G6" s="10" t="s">
        <v>1107</v>
      </c>
      <c r="H6" s="10" t="s">
        <v>166</v>
      </c>
      <c r="I6" s="10" t="s">
        <v>51</v>
      </c>
      <c r="J6" s="10" t="s">
        <v>1108</v>
      </c>
      <c r="K6" s="10" t="s">
        <v>217</v>
      </c>
      <c r="L6" s="10" t="s">
        <v>1104</v>
      </c>
      <c r="M6" s="10" t="s">
        <v>1105</v>
      </c>
      <c r="N6" s="10" t="s">
        <v>1109</v>
      </c>
      <c r="O6" s="10" t="s">
        <v>200</v>
      </c>
      <c r="P6" s="10" t="s">
        <v>175</v>
      </c>
      <c r="Q6" s="10" t="s">
        <v>175</v>
      </c>
      <c r="R6" s="10" t="s">
        <v>175</v>
      </c>
      <c r="S6" s="10" t="s">
        <v>175</v>
      </c>
      <c r="T6" s="10" t="s">
        <v>175</v>
      </c>
      <c r="U6" s="10" t="s">
        <v>175</v>
      </c>
      <c r="V6" s="10" t="s">
        <v>175</v>
      </c>
      <c r="W6" s="10" t="s">
        <v>175</v>
      </c>
      <c r="X6" s="10" t="s">
        <v>166</v>
      </c>
      <c r="Y6" s="10" t="s">
        <v>175</v>
      </c>
      <c r="Z6" s="10" t="s">
        <v>175</v>
      </c>
    </row>
    <row r="7" customFormat="false" ht="15" hidden="false" customHeight="true" outlineLevel="0" collapsed="false">
      <c r="A7" s="10" t="s">
        <v>223</v>
      </c>
      <c r="B7" s="10" t="s">
        <v>194</v>
      </c>
      <c r="C7" s="10" t="s">
        <v>195</v>
      </c>
      <c r="D7" s="10" t="s">
        <v>216</v>
      </c>
      <c r="E7" s="10" t="s">
        <v>156</v>
      </c>
      <c r="F7" s="10" t="s">
        <v>1102</v>
      </c>
      <c r="G7" s="10" t="s">
        <v>1107</v>
      </c>
      <c r="H7" s="10" t="s">
        <v>166</v>
      </c>
      <c r="I7" s="10" t="s">
        <v>51</v>
      </c>
      <c r="J7" s="10" t="s">
        <v>198</v>
      </c>
      <c r="K7" s="10" t="s">
        <v>198</v>
      </c>
      <c r="L7" s="10" t="s">
        <v>1104</v>
      </c>
      <c r="M7" s="10" t="s">
        <v>1105</v>
      </c>
      <c r="N7" s="10" t="s">
        <v>1109</v>
      </c>
      <c r="O7" s="10" t="s">
        <v>200</v>
      </c>
      <c r="P7" s="10" t="s">
        <v>175</v>
      </c>
      <c r="Q7" s="10" t="s">
        <v>175</v>
      </c>
      <c r="R7" s="10" t="s">
        <v>175</v>
      </c>
      <c r="S7" s="10" t="s">
        <v>175</v>
      </c>
      <c r="T7" s="10" t="s">
        <v>175</v>
      </c>
      <c r="U7" s="10" t="s">
        <v>175</v>
      </c>
      <c r="V7" s="10" t="s">
        <v>175</v>
      </c>
      <c r="W7" s="10" t="s">
        <v>175</v>
      </c>
      <c r="X7" s="10" t="s">
        <v>166</v>
      </c>
      <c r="Y7" s="10" t="s">
        <v>175</v>
      </c>
      <c r="Z7" s="10" t="s">
        <v>175</v>
      </c>
    </row>
    <row r="8" customFormat="false" ht="15" hidden="false" customHeight="true" outlineLevel="0" collapsed="false">
      <c r="A8" s="10" t="s">
        <v>226</v>
      </c>
      <c r="B8" s="10" t="s">
        <v>194</v>
      </c>
      <c r="C8" s="10" t="s">
        <v>195</v>
      </c>
      <c r="D8" s="10" t="s">
        <v>227</v>
      </c>
      <c r="E8" s="10" t="s">
        <v>211</v>
      </c>
      <c r="F8" s="10" t="s">
        <v>1102</v>
      </c>
      <c r="G8" s="10" t="s">
        <v>1107</v>
      </c>
      <c r="H8" s="10" t="s">
        <v>169</v>
      </c>
      <c r="I8" s="10" t="s">
        <v>51</v>
      </c>
      <c r="J8" s="10" t="s">
        <v>198</v>
      </c>
      <c r="K8" s="10" t="s">
        <v>198</v>
      </c>
      <c r="L8" s="10" t="s">
        <v>1104</v>
      </c>
      <c r="M8" s="10" t="s">
        <v>1105</v>
      </c>
      <c r="N8" s="10" t="s">
        <v>1106</v>
      </c>
      <c r="O8" s="10" t="s">
        <v>200</v>
      </c>
      <c r="P8" s="10" t="s">
        <v>175</v>
      </c>
      <c r="Q8" s="10" t="s">
        <v>175</v>
      </c>
      <c r="R8" s="10" t="s">
        <v>175</v>
      </c>
      <c r="S8" s="10" t="s">
        <v>175</v>
      </c>
      <c r="T8" s="10" t="s">
        <v>169</v>
      </c>
      <c r="U8" s="10" t="s">
        <v>175</v>
      </c>
      <c r="V8" s="10" t="s">
        <v>175</v>
      </c>
      <c r="W8" s="10" t="s">
        <v>175</v>
      </c>
      <c r="X8" s="10" t="s">
        <v>169</v>
      </c>
      <c r="Y8" s="10" t="s">
        <v>175</v>
      </c>
      <c r="Z8" s="10" t="s">
        <v>175</v>
      </c>
    </row>
    <row r="9" customFormat="false" ht="15" hidden="false" customHeight="true" outlineLevel="0" collapsed="false">
      <c r="A9" s="10" t="s">
        <v>231</v>
      </c>
      <c r="B9" s="10" t="s">
        <v>194</v>
      </c>
      <c r="C9" s="10" t="s">
        <v>195</v>
      </c>
      <c r="D9" s="10" t="s">
        <v>232</v>
      </c>
      <c r="E9" s="10" t="s">
        <v>233</v>
      </c>
      <c r="F9" s="10" t="s">
        <v>1102</v>
      </c>
      <c r="G9" s="10" t="s">
        <v>1110</v>
      </c>
      <c r="H9" s="10" t="s">
        <v>169</v>
      </c>
      <c r="I9" s="10" t="s">
        <v>51</v>
      </c>
      <c r="J9" s="10" t="s">
        <v>198</v>
      </c>
      <c r="K9" s="10" t="s">
        <v>198</v>
      </c>
      <c r="L9" s="10" t="s">
        <v>1104</v>
      </c>
      <c r="M9" s="10" t="s">
        <v>1105</v>
      </c>
      <c r="N9" s="10" t="s">
        <v>1106</v>
      </c>
      <c r="O9" s="10" t="s">
        <v>200</v>
      </c>
      <c r="P9" s="10" t="s">
        <v>169</v>
      </c>
      <c r="Q9" s="10" t="s">
        <v>175</v>
      </c>
      <c r="R9" s="10" t="s">
        <v>175</v>
      </c>
      <c r="S9" s="10" t="s">
        <v>175</v>
      </c>
      <c r="T9" s="10" t="s">
        <v>175</v>
      </c>
      <c r="U9" s="10" t="s">
        <v>175</v>
      </c>
      <c r="V9" s="10" t="s">
        <v>175</v>
      </c>
      <c r="W9" s="10" t="s">
        <v>175</v>
      </c>
      <c r="X9" s="10" t="s">
        <v>175</v>
      </c>
      <c r="Y9" s="10" t="s">
        <v>169</v>
      </c>
      <c r="Z9" s="10" t="s">
        <v>175</v>
      </c>
    </row>
    <row r="10" customFormat="false" ht="15" hidden="false" customHeight="true" outlineLevel="0" collapsed="false">
      <c r="A10" s="10" t="s">
        <v>237</v>
      </c>
      <c r="B10" s="10" t="s">
        <v>194</v>
      </c>
      <c r="C10" s="10" t="s">
        <v>195</v>
      </c>
      <c r="D10" s="10" t="s">
        <v>238</v>
      </c>
      <c r="E10" s="10" t="s">
        <v>161</v>
      </c>
      <c r="F10" s="10" t="s">
        <v>1102</v>
      </c>
      <c r="G10" s="10" t="s">
        <v>1103</v>
      </c>
      <c r="H10" s="10" t="s">
        <v>169</v>
      </c>
      <c r="I10" s="10" t="s">
        <v>51</v>
      </c>
      <c r="J10" s="10" t="s">
        <v>198</v>
      </c>
      <c r="K10" s="10" t="s">
        <v>198</v>
      </c>
      <c r="L10" s="10" t="s">
        <v>1104</v>
      </c>
      <c r="M10" s="10" t="s">
        <v>1105</v>
      </c>
      <c r="N10" s="10" t="s">
        <v>1106</v>
      </c>
      <c r="O10" s="10" t="s">
        <v>200</v>
      </c>
      <c r="P10" s="10" t="s">
        <v>175</v>
      </c>
      <c r="Q10" s="10" t="s">
        <v>175</v>
      </c>
      <c r="R10" s="10" t="s">
        <v>175</v>
      </c>
      <c r="S10" s="10" t="s">
        <v>175</v>
      </c>
      <c r="T10" s="10" t="s">
        <v>175</v>
      </c>
      <c r="U10" s="10" t="s">
        <v>175</v>
      </c>
      <c r="V10" s="10" t="s">
        <v>175</v>
      </c>
      <c r="W10" s="10" t="s">
        <v>175</v>
      </c>
      <c r="X10" s="10" t="s">
        <v>175</v>
      </c>
      <c r="Y10" s="10" t="s">
        <v>175</v>
      </c>
      <c r="Z10" s="10" t="s">
        <v>169</v>
      </c>
    </row>
    <row r="11" customFormat="false" ht="15" hidden="false" customHeight="true" outlineLevel="0" collapsed="false">
      <c r="A11" s="10" t="s">
        <v>241</v>
      </c>
      <c r="B11" s="10" t="s">
        <v>194</v>
      </c>
      <c r="C11" s="10" t="s">
        <v>242</v>
      </c>
      <c r="D11" s="10" t="s">
        <v>243</v>
      </c>
      <c r="E11" s="10" t="s">
        <v>244</v>
      </c>
      <c r="F11" s="10" t="s">
        <v>1102</v>
      </c>
      <c r="G11" s="10" t="s">
        <v>1107</v>
      </c>
      <c r="H11" s="10" t="s">
        <v>169</v>
      </c>
      <c r="I11" s="10" t="s">
        <v>51</v>
      </c>
      <c r="J11" s="10" t="s">
        <v>198</v>
      </c>
      <c r="K11" s="10" t="s">
        <v>198</v>
      </c>
      <c r="L11" s="10" t="s">
        <v>1104</v>
      </c>
      <c r="M11" s="10" t="s">
        <v>1105</v>
      </c>
      <c r="N11" s="10" t="s">
        <v>1106</v>
      </c>
      <c r="O11" s="10" t="s">
        <v>246</v>
      </c>
      <c r="P11" s="10" t="s">
        <v>175</v>
      </c>
      <c r="Q11" s="10" t="s">
        <v>175</v>
      </c>
      <c r="R11" s="10" t="s">
        <v>175</v>
      </c>
      <c r="S11" s="10" t="s">
        <v>175</v>
      </c>
      <c r="T11" s="10" t="s">
        <v>169</v>
      </c>
      <c r="U11" s="10" t="s">
        <v>175</v>
      </c>
      <c r="V11" s="10" t="s">
        <v>175</v>
      </c>
      <c r="W11" s="10" t="s">
        <v>169</v>
      </c>
      <c r="X11" s="10" t="s">
        <v>169</v>
      </c>
      <c r="Y11" s="10" t="s">
        <v>175</v>
      </c>
      <c r="Z11" s="10" t="s">
        <v>175</v>
      </c>
    </row>
    <row r="12" customFormat="false" ht="15" hidden="false" customHeight="true" outlineLevel="0" collapsed="false">
      <c r="A12" s="10" t="s">
        <v>249</v>
      </c>
      <c r="B12" s="10" t="s">
        <v>194</v>
      </c>
      <c r="C12" s="10" t="s">
        <v>242</v>
      </c>
      <c r="D12" s="10" t="s">
        <v>250</v>
      </c>
      <c r="E12" s="10" t="s">
        <v>156</v>
      </c>
      <c r="F12" s="10" t="s">
        <v>1102</v>
      </c>
      <c r="G12" s="10" t="s">
        <v>1107</v>
      </c>
      <c r="H12" s="10" t="s">
        <v>169</v>
      </c>
      <c r="I12" s="10" t="s">
        <v>51</v>
      </c>
      <c r="J12" s="10" t="s">
        <v>198</v>
      </c>
      <c r="K12" s="10" t="s">
        <v>198</v>
      </c>
      <c r="L12" s="10" t="s">
        <v>1104</v>
      </c>
      <c r="M12" s="10" t="s">
        <v>1105</v>
      </c>
      <c r="N12" s="10" t="s">
        <v>1106</v>
      </c>
      <c r="O12" s="10" t="s">
        <v>246</v>
      </c>
      <c r="P12" s="10" t="s">
        <v>175</v>
      </c>
      <c r="Q12" s="10" t="s">
        <v>175</v>
      </c>
      <c r="R12" s="10" t="s">
        <v>175</v>
      </c>
      <c r="S12" s="10" t="s">
        <v>175</v>
      </c>
      <c r="T12" s="10" t="s">
        <v>175</v>
      </c>
      <c r="U12" s="10" t="s">
        <v>175</v>
      </c>
      <c r="V12" s="10" t="s">
        <v>175</v>
      </c>
      <c r="W12" s="10" t="s">
        <v>175</v>
      </c>
      <c r="X12" s="10" t="s">
        <v>169</v>
      </c>
      <c r="Y12" s="10" t="s">
        <v>175</v>
      </c>
      <c r="Z12" s="10" t="s">
        <v>175</v>
      </c>
    </row>
    <row r="13" customFormat="false" ht="15" hidden="false" customHeight="true" outlineLevel="0" collapsed="false">
      <c r="A13" s="10" t="s">
        <v>252</v>
      </c>
      <c r="B13" s="10" t="s">
        <v>194</v>
      </c>
      <c r="C13" s="10" t="s">
        <v>242</v>
      </c>
      <c r="D13" s="10" t="s">
        <v>253</v>
      </c>
      <c r="E13" s="10" t="s">
        <v>156</v>
      </c>
      <c r="F13" s="10" t="s">
        <v>1102</v>
      </c>
      <c r="G13" s="10" t="s">
        <v>1107</v>
      </c>
      <c r="H13" s="10" t="s">
        <v>169</v>
      </c>
      <c r="I13" s="10" t="s">
        <v>51</v>
      </c>
      <c r="J13" s="10" t="s">
        <v>198</v>
      </c>
      <c r="K13" s="10" t="s">
        <v>198</v>
      </c>
      <c r="L13" s="10" t="s">
        <v>1104</v>
      </c>
      <c r="M13" s="10" t="s">
        <v>1105</v>
      </c>
      <c r="N13" s="10" t="s">
        <v>1106</v>
      </c>
      <c r="O13" s="10" t="s">
        <v>246</v>
      </c>
      <c r="P13" s="10" t="s">
        <v>175</v>
      </c>
      <c r="Q13" s="10" t="s">
        <v>175</v>
      </c>
      <c r="R13" s="10" t="s">
        <v>175</v>
      </c>
      <c r="S13" s="10" t="s">
        <v>175</v>
      </c>
      <c r="T13" s="10" t="s">
        <v>175</v>
      </c>
      <c r="U13" s="10" t="s">
        <v>175</v>
      </c>
      <c r="V13" s="10" t="s">
        <v>175</v>
      </c>
      <c r="W13" s="10" t="s">
        <v>175</v>
      </c>
      <c r="X13" s="10" t="s">
        <v>169</v>
      </c>
      <c r="Y13" s="10" t="s">
        <v>175</v>
      </c>
      <c r="Z13" s="10" t="s">
        <v>175</v>
      </c>
    </row>
    <row r="14" customFormat="false" ht="15" hidden="false" customHeight="true" outlineLevel="0" collapsed="false">
      <c r="A14" s="10" t="s">
        <v>256</v>
      </c>
      <c r="B14" s="10" t="s">
        <v>194</v>
      </c>
      <c r="C14" s="10" t="s">
        <v>242</v>
      </c>
      <c r="D14" s="10" t="s">
        <v>257</v>
      </c>
      <c r="E14" s="10" t="s">
        <v>156</v>
      </c>
      <c r="F14" s="10" t="s">
        <v>1102</v>
      </c>
      <c r="G14" s="10" t="s">
        <v>1107</v>
      </c>
      <c r="H14" s="10" t="s">
        <v>166</v>
      </c>
      <c r="I14" s="10" t="s">
        <v>51</v>
      </c>
      <c r="J14" s="10" t="s">
        <v>1111</v>
      </c>
      <c r="K14" s="10" t="s">
        <v>198</v>
      </c>
      <c r="L14" s="10" t="s">
        <v>1104</v>
      </c>
      <c r="M14" s="10" t="s">
        <v>1105</v>
      </c>
      <c r="N14" s="10" t="s">
        <v>1109</v>
      </c>
      <c r="O14" s="10" t="s">
        <v>246</v>
      </c>
      <c r="P14" s="10" t="s">
        <v>175</v>
      </c>
      <c r="Q14" s="10" t="s">
        <v>175</v>
      </c>
      <c r="R14" s="10" t="s">
        <v>175</v>
      </c>
      <c r="S14" s="10" t="s">
        <v>175</v>
      </c>
      <c r="T14" s="10" t="s">
        <v>175</v>
      </c>
      <c r="U14" s="10" t="s">
        <v>175</v>
      </c>
      <c r="V14" s="10" t="s">
        <v>175</v>
      </c>
      <c r="W14" s="10" t="s">
        <v>175</v>
      </c>
      <c r="X14" s="10" t="s">
        <v>166</v>
      </c>
      <c r="Y14" s="10" t="s">
        <v>175</v>
      </c>
      <c r="Z14" s="10" t="s">
        <v>175</v>
      </c>
    </row>
    <row r="15" customFormat="false" ht="15" hidden="false" customHeight="true" outlineLevel="0" collapsed="false">
      <c r="A15" s="10" t="s">
        <v>260</v>
      </c>
      <c r="B15" s="10" t="s">
        <v>194</v>
      </c>
      <c r="C15" s="10" t="s">
        <v>242</v>
      </c>
      <c r="D15" s="10" t="s">
        <v>261</v>
      </c>
      <c r="E15" s="10" t="s">
        <v>233</v>
      </c>
      <c r="F15" s="10" t="s">
        <v>1102</v>
      </c>
      <c r="G15" s="10" t="s">
        <v>1110</v>
      </c>
      <c r="H15" s="10" t="s">
        <v>169</v>
      </c>
      <c r="I15" s="10" t="s">
        <v>51</v>
      </c>
      <c r="J15" s="10" t="s">
        <v>198</v>
      </c>
      <c r="K15" s="10" t="s">
        <v>198</v>
      </c>
      <c r="L15" s="10" t="s">
        <v>1104</v>
      </c>
      <c r="M15" s="10" t="s">
        <v>1105</v>
      </c>
      <c r="N15" s="10" t="s">
        <v>1106</v>
      </c>
      <c r="O15" s="10" t="s">
        <v>246</v>
      </c>
      <c r="P15" s="10" t="s">
        <v>169</v>
      </c>
      <c r="Q15" s="10" t="s">
        <v>175</v>
      </c>
      <c r="R15" s="10" t="s">
        <v>175</v>
      </c>
      <c r="S15" s="10" t="s">
        <v>175</v>
      </c>
      <c r="T15" s="10" t="s">
        <v>175</v>
      </c>
      <c r="U15" s="10" t="s">
        <v>175</v>
      </c>
      <c r="V15" s="10" t="s">
        <v>175</v>
      </c>
      <c r="W15" s="10" t="s">
        <v>175</v>
      </c>
      <c r="X15" s="10" t="s">
        <v>175</v>
      </c>
      <c r="Y15" s="10" t="s">
        <v>169</v>
      </c>
      <c r="Z15" s="10" t="s">
        <v>175</v>
      </c>
    </row>
    <row r="16" customFormat="false" ht="15" hidden="false" customHeight="true" outlineLevel="0" collapsed="false">
      <c r="A16" s="10" t="s">
        <v>264</v>
      </c>
      <c r="B16" s="10" t="s">
        <v>194</v>
      </c>
      <c r="C16" s="10" t="s">
        <v>242</v>
      </c>
      <c r="D16" s="10" t="s">
        <v>265</v>
      </c>
      <c r="E16" s="10" t="s">
        <v>156</v>
      </c>
      <c r="F16" s="10" t="s">
        <v>1102</v>
      </c>
      <c r="G16" s="10" t="s">
        <v>1107</v>
      </c>
      <c r="H16" s="10" t="s">
        <v>166</v>
      </c>
      <c r="I16" s="10" t="s">
        <v>51</v>
      </c>
      <c r="J16" s="10" t="s">
        <v>198</v>
      </c>
      <c r="K16" s="10" t="s">
        <v>198</v>
      </c>
      <c r="L16" s="10" t="s">
        <v>1104</v>
      </c>
      <c r="M16" s="10" t="s">
        <v>1105</v>
      </c>
      <c r="N16" s="10" t="s">
        <v>1109</v>
      </c>
      <c r="O16" s="10" t="s">
        <v>246</v>
      </c>
      <c r="P16" s="10" t="s">
        <v>175</v>
      </c>
      <c r="Q16" s="10" t="s">
        <v>175</v>
      </c>
      <c r="R16" s="10" t="s">
        <v>175</v>
      </c>
      <c r="S16" s="10" t="s">
        <v>175</v>
      </c>
      <c r="T16" s="10" t="s">
        <v>175</v>
      </c>
      <c r="U16" s="10" t="s">
        <v>175</v>
      </c>
      <c r="V16" s="10" t="s">
        <v>175</v>
      </c>
      <c r="W16" s="10" t="s">
        <v>175</v>
      </c>
      <c r="X16" s="10" t="s">
        <v>166</v>
      </c>
      <c r="Y16" s="10" t="s">
        <v>175</v>
      </c>
      <c r="Z16" s="10" t="s">
        <v>175</v>
      </c>
    </row>
    <row r="17" customFormat="false" ht="15" hidden="false" customHeight="true" outlineLevel="0" collapsed="false">
      <c r="A17" s="10" t="s">
        <v>268</v>
      </c>
      <c r="B17" s="10" t="s">
        <v>194</v>
      </c>
      <c r="C17" s="10" t="s">
        <v>242</v>
      </c>
      <c r="D17" s="10" t="s">
        <v>269</v>
      </c>
      <c r="E17" s="10" t="s">
        <v>156</v>
      </c>
      <c r="F17" s="10" t="s">
        <v>1102</v>
      </c>
      <c r="G17" s="10" t="s">
        <v>1107</v>
      </c>
      <c r="H17" s="10" t="s">
        <v>166</v>
      </c>
      <c r="I17" s="10" t="s">
        <v>51</v>
      </c>
      <c r="J17" s="10" t="s">
        <v>1108</v>
      </c>
      <c r="K17" s="10" t="s">
        <v>270</v>
      </c>
      <c r="L17" s="10" t="s">
        <v>1104</v>
      </c>
      <c r="M17" s="10" t="s">
        <v>1105</v>
      </c>
      <c r="N17" s="10" t="s">
        <v>1109</v>
      </c>
      <c r="O17" s="10" t="s">
        <v>246</v>
      </c>
      <c r="P17" s="10" t="s">
        <v>175</v>
      </c>
      <c r="Q17" s="10" t="s">
        <v>175</v>
      </c>
      <c r="R17" s="10" t="s">
        <v>175</v>
      </c>
      <c r="S17" s="10" t="s">
        <v>175</v>
      </c>
      <c r="T17" s="10" t="s">
        <v>175</v>
      </c>
      <c r="U17" s="10" t="s">
        <v>175</v>
      </c>
      <c r="V17" s="10" t="s">
        <v>175</v>
      </c>
      <c r="W17" s="10" t="s">
        <v>175</v>
      </c>
      <c r="X17" s="10" t="s">
        <v>166</v>
      </c>
      <c r="Y17" s="10" t="s">
        <v>175</v>
      </c>
      <c r="Z17" s="10" t="s">
        <v>175</v>
      </c>
    </row>
    <row r="18" customFormat="false" ht="15" hidden="false" customHeight="true" outlineLevel="0" collapsed="false">
      <c r="A18" s="10" t="s">
        <v>272</v>
      </c>
      <c r="B18" s="10" t="s">
        <v>194</v>
      </c>
      <c r="C18" s="10" t="s">
        <v>242</v>
      </c>
      <c r="D18" s="10" t="s">
        <v>273</v>
      </c>
      <c r="E18" s="10" t="s">
        <v>156</v>
      </c>
      <c r="F18" s="10" t="s">
        <v>1102</v>
      </c>
      <c r="G18" s="10" t="s">
        <v>1107</v>
      </c>
      <c r="H18" s="10" t="s">
        <v>166</v>
      </c>
      <c r="I18" s="10" t="s">
        <v>51</v>
      </c>
      <c r="J18" s="10" t="s">
        <v>1108</v>
      </c>
      <c r="K18" s="10" t="s">
        <v>274</v>
      </c>
      <c r="L18" s="10" t="s">
        <v>1104</v>
      </c>
      <c r="M18" s="10" t="s">
        <v>1105</v>
      </c>
      <c r="N18" s="10" t="s">
        <v>1109</v>
      </c>
      <c r="O18" s="10" t="s">
        <v>246</v>
      </c>
      <c r="P18" s="10" t="s">
        <v>175</v>
      </c>
      <c r="Q18" s="10" t="s">
        <v>175</v>
      </c>
      <c r="R18" s="10" t="s">
        <v>175</v>
      </c>
      <c r="S18" s="10" t="s">
        <v>175</v>
      </c>
      <c r="T18" s="10" t="s">
        <v>175</v>
      </c>
      <c r="U18" s="10" t="s">
        <v>175</v>
      </c>
      <c r="V18" s="10" t="s">
        <v>175</v>
      </c>
      <c r="W18" s="10" t="s">
        <v>175</v>
      </c>
      <c r="X18" s="10" t="s">
        <v>166</v>
      </c>
      <c r="Y18" s="10" t="s">
        <v>175</v>
      </c>
      <c r="Z18" s="10" t="s">
        <v>175</v>
      </c>
    </row>
    <row r="19" customFormat="false" ht="15" hidden="false" customHeight="true" outlineLevel="0" collapsed="false">
      <c r="A19" s="10" t="s">
        <v>277</v>
      </c>
      <c r="B19" s="10" t="s">
        <v>194</v>
      </c>
      <c r="C19" s="10" t="s">
        <v>242</v>
      </c>
      <c r="D19" s="10" t="s">
        <v>278</v>
      </c>
      <c r="E19" s="10" t="s">
        <v>161</v>
      </c>
      <c r="F19" s="10" t="s">
        <v>1102</v>
      </c>
      <c r="G19" s="10" t="s">
        <v>1103</v>
      </c>
      <c r="H19" s="10" t="s">
        <v>169</v>
      </c>
      <c r="I19" s="10" t="s">
        <v>51</v>
      </c>
      <c r="J19" s="10" t="s">
        <v>198</v>
      </c>
      <c r="K19" s="10" t="s">
        <v>198</v>
      </c>
      <c r="L19" s="10" t="s">
        <v>1104</v>
      </c>
      <c r="M19" s="10" t="s">
        <v>1105</v>
      </c>
      <c r="N19" s="10" t="s">
        <v>1106</v>
      </c>
      <c r="O19" s="10" t="s">
        <v>246</v>
      </c>
      <c r="P19" s="10" t="s">
        <v>175</v>
      </c>
      <c r="Q19" s="10" t="s">
        <v>175</v>
      </c>
      <c r="R19" s="10" t="s">
        <v>175</v>
      </c>
      <c r="S19" s="10" t="s">
        <v>175</v>
      </c>
      <c r="T19" s="10" t="s">
        <v>175</v>
      </c>
      <c r="U19" s="10" t="s">
        <v>175</v>
      </c>
      <c r="V19" s="10" t="s">
        <v>175</v>
      </c>
      <c r="W19" s="10" t="s">
        <v>175</v>
      </c>
      <c r="X19" s="10" t="s">
        <v>175</v>
      </c>
      <c r="Y19" s="10" t="s">
        <v>175</v>
      </c>
      <c r="Z19" s="10" t="s">
        <v>169</v>
      </c>
    </row>
    <row r="20" customFormat="false" ht="15" hidden="false" customHeight="true" outlineLevel="0" collapsed="false">
      <c r="A20" s="10" t="s">
        <v>281</v>
      </c>
      <c r="B20" s="10" t="s">
        <v>194</v>
      </c>
      <c r="C20" s="10" t="s">
        <v>242</v>
      </c>
      <c r="D20" s="10" t="s">
        <v>282</v>
      </c>
      <c r="E20" s="10" t="s">
        <v>161</v>
      </c>
      <c r="F20" s="10" t="s">
        <v>1102</v>
      </c>
      <c r="G20" s="10" t="s">
        <v>1103</v>
      </c>
      <c r="H20" s="10" t="s">
        <v>169</v>
      </c>
      <c r="I20" s="10" t="s">
        <v>51</v>
      </c>
      <c r="J20" s="10" t="s">
        <v>198</v>
      </c>
      <c r="K20" s="10" t="s">
        <v>198</v>
      </c>
      <c r="L20" s="10" t="s">
        <v>1104</v>
      </c>
      <c r="M20" s="10" t="s">
        <v>1105</v>
      </c>
      <c r="N20" s="10" t="s">
        <v>1106</v>
      </c>
      <c r="O20" s="10" t="s">
        <v>246</v>
      </c>
      <c r="P20" s="10" t="s">
        <v>175</v>
      </c>
      <c r="Q20" s="10" t="s">
        <v>175</v>
      </c>
      <c r="R20" s="10" t="s">
        <v>175</v>
      </c>
      <c r="S20" s="10" t="s">
        <v>175</v>
      </c>
      <c r="T20" s="10" t="s">
        <v>175</v>
      </c>
      <c r="U20" s="10" t="s">
        <v>175</v>
      </c>
      <c r="V20" s="10" t="s">
        <v>175</v>
      </c>
      <c r="W20" s="10" t="s">
        <v>175</v>
      </c>
      <c r="X20" s="10" t="s">
        <v>175</v>
      </c>
      <c r="Y20" s="10" t="s">
        <v>175</v>
      </c>
      <c r="Z20" s="10" t="s">
        <v>169</v>
      </c>
    </row>
    <row r="21" customFormat="false" ht="15" hidden="false" customHeight="true" outlineLevel="0" collapsed="false">
      <c r="A21" s="10" t="s">
        <v>285</v>
      </c>
      <c r="B21" s="10" t="s">
        <v>194</v>
      </c>
      <c r="C21" s="10" t="s">
        <v>286</v>
      </c>
      <c r="D21" s="10" t="s">
        <v>287</v>
      </c>
      <c r="E21" s="10" t="s">
        <v>161</v>
      </c>
      <c r="F21" s="10" t="s">
        <v>1102</v>
      </c>
      <c r="G21" s="10" t="s">
        <v>1103</v>
      </c>
      <c r="H21" s="10" t="s">
        <v>169</v>
      </c>
      <c r="I21" s="10" t="s">
        <v>51</v>
      </c>
      <c r="J21" s="10" t="s">
        <v>198</v>
      </c>
      <c r="K21" s="10" t="s">
        <v>198</v>
      </c>
      <c r="L21" s="10" t="s">
        <v>1104</v>
      </c>
      <c r="M21" s="10" t="s">
        <v>1105</v>
      </c>
      <c r="N21" s="10" t="s">
        <v>1106</v>
      </c>
      <c r="O21" s="10" t="s">
        <v>289</v>
      </c>
      <c r="P21" s="10" t="s">
        <v>175</v>
      </c>
      <c r="Q21" s="10" t="s">
        <v>175</v>
      </c>
      <c r="R21" s="10" t="s">
        <v>175</v>
      </c>
      <c r="S21" s="10" t="s">
        <v>175</v>
      </c>
      <c r="T21" s="10" t="s">
        <v>175</v>
      </c>
      <c r="U21" s="10" t="s">
        <v>175</v>
      </c>
      <c r="V21" s="10" t="s">
        <v>175</v>
      </c>
      <c r="W21" s="10" t="s">
        <v>175</v>
      </c>
      <c r="X21" s="10" t="s">
        <v>175</v>
      </c>
      <c r="Y21" s="10" t="s">
        <v>175</v>
      </c>
      <c r="Z21" s="10" t="s">
        <v>169</v>
      </c>
    </row>
    <row r="22" customFormat="false" ht="15" hidden="false" customHeight="true" outlineLevel="0" collapsed="false">
      <c r="A22" s="10" t="s">
        <v>291</v>
      </c>
      <c r="B22" s="10" t="s">
        <v>194</v>
      </c>
      <c r="C22" s="10" t="s">
        <v>292</v>
      </c>
      <c r="D22" s="10" t="s">
        <v>293</v>
      </c>
      <c r="E22" s="10" t="s">
        <v>204</v>
      </c>
      <c r="F22" s="10" t="s">
        <v>1102</v>
      </c>
      <c r="G22" s="10" t="s">
        <v>1107</v>
      </c>
      <c r="H22" s="10" t="s">
        <v>166</v>
      </c>
      <c r="I22" s="10" t="s">
        <v>51</v>
      </c>
      <c r="J22" s="10" t="s">
        <v>1108</v>
      </c>
      <c r="K22" s="10" t="s">
        <v>294</v>
      </c>
      <c r="L22" s="10" t="s">
        <v>1104</v>
      </c>
      <c r="M22" s="10" t="s">
        <v>1105</v>
      </c>
      <c r="N22" s="10" t="s">
        <v>1109</v>
      </c>
      <c r="O22" s="10" t="s">
        <v>296</v>
      </c>
      <c r="P22" s="10" t="s">
        <v>175</v>
      </c>
      <c r="Q22" s="10" t="s">
        <v>175</v>
      </c>
      <c r="R22" s="10" t="s">
        <v>175</v>
      </c>
      <c r="S22" s="10" t="s">
        <v>175</v>
      </c>
      <c r="T22" s="10" t="s">
        <v>175</v>
      </c>
      <c r="U22" s="10" t="s">
        <v>175</v>
      </c>
      <c r="V22" s="10" t="s">
        <v>175</v>
      </c>
      <c r="W22" s="10" t="s">
        <v>175</v>
      </c>
      <c r="X22" s="10" t="s">
        <v>166</v>
      </c>
      <c r="Y22" s="10" t="s">
        <v>166</v>
      </c>
      <c r="Z22" s="10" t="s">
        <v>175</v>
      </c>
    </row>
    <row r="23" customFormat="false" ht="15" hidden="false" customHeight="true" outlineLevel="0" collapsed="false">
      <c r="A23" s="10" t="s">
        <v>298</v>
      </c>
      <c r="B23" s="10" t="s">
        <v>194</v>
      </c>
      <c r="C23" s="10" t="s">
        <v>292</v>
      </c>
      <c r="D23" s="10" t="s">
        <v>299</v>
      </c>
      <c r="E23" s="10" t="s">
        <v>156</v>
      </c>
      <c r="F23" s="10" t="s">
        <v>1102</v>
      </c>
      <c r="G23" s="10" t="s">
        <v>1107</v>
      </c>
      <c r="H23" s="10" t="s">
        <v>166</v>
      </c>
      <c r="I23" s="10" t="s">
        <v>51</v>
      </c>
      <c r="J23" s="10" t="s">
        <v>1108</v>
      </c>
      <c r="K23" s="10" t="s">
        <v>300</v>
      </c>
      <c r="L23" s="10" t="s">
        <v>1104</v>
      </c>
      <c r="M23" s="10" t="s">
        <v>1105</v>
      </c>
      <c r="N23" s="10" t="s">
        <v>1109</v>
      </c>
      <c r="O23" s="10" t="s">
        <v>296</v>
      </c>
      <c r="P23" s="10" t="s">
        <v>175</v>
      </c>
      <c r="Q23" s="10" t="s">
        <v>175</v>
      </c>
      <c r="R23" s="10" t="s">
        <v>175</v>
      </c>
      <c r="S23" s="10" t="s">
        <v>175</v>
      </c>
      <c r="T23" s="10" t="s">
        <v>175</v>
      </c>
      <c r="U23" s="10" t="s">
        <v>175</v>
      </c>
      <c r="V23" s="10" t="s">
        <v>175</v>
      </c>
      <c r="W23" s="10" t="s">
        <v>175</v>
      </c>
      <c r="X23" s="10" t="s">
        <v>166</v>
      </c>
      <c r="Y23" s="10" t="s">
        <v>175</v>
      </c>
      <c r="Z23" s="10" t="s">
        <v>175</v>
      </c>
    </row>
    <row r="24" customFormat="false" ht="15" hidden="false" customHeight="true" outlineLevel="0" collapsed="false">
      <c r="A24" s="10" t="s">
        <v>302</v>
      </c>
      <c r="B24" s="10" t="s">
        <v>194</v>
      </c>
      <c r="C24" s="10" t="s">
        <v>292</v>
      </c>
      <c r="D24" s="10" t="s">
        <v>303</v>
      </c>
      <c r="E24" s="10" t="s">
        <v>304</v>
      </c>
      <c r="F24" s="10" t="s">
        <v>1102</v>
      </c>
      <c r="G24" s="10" t="s">
        <v>1110</v>
      </c>
      <c r="H24" s="10" t="s">
        <v>169</v>
      </c>
      <c r="I24" s="10" t="s">
        <v>51</v>
      </c>
      <c r="J24" s="10" t="s">
        <v>1108</v>
      </c>
      <c r="K24" s="10" t="s">
        <v>305</v>
      </c>
      <c r="L24" s="10" t="s">
        <v>1104</v>
      </c>
      <c r="M24" s="10" t="s">
        <v>1105</v>
      </c>
      <c r="N24" s="10" t="s">
        <v>1106</v>
      </c>
      <c r="O24" s="10" t="s">
        <v>296</v>
      </c>
      <c r="P24" s="10" t="s">
        <v>175</v>
      </c>
      <c r="Q24" s="10" t="s">
        <v>175</v>
      </c>
      <c r="R24" s="10" t="s">
        <v>175</v>
      </c>
      <c r="S24" s="10" t="s">
        <v>175</v>
      </c>
      <c r="T24" s="10" t="s">
        <v>175</v>
      </c>
      <c r="U24" s="10" t="s">
        <v>175</v>
      </c>
      <c r="V24" s="10" t="s">
        <v>175</v>
      </c>
      <c r="W24" s="10" t="s">
        <v>175</v>
      </c>
      <c r="X24" s="10" t="s">
        <v>175</v>
      </c>
      <c r="Y24" s="10" t="s">
        <v>169</v>
      </c>
      <c r="Z24" s="10" t="s">
        <v>169</v>
      </c>
    </row>
    <row r="25" customFormat="false" ht="15" hidden="false" customHeight="true" outlineLevel="0" collapsed="false">
      <c r="A25" s="10" t="s">
        <v>309</v>
      </c>
      <c r="B25" s="10" t="s">
        <v>194</v>
      </c>
      <c r="C25" s="10" t="s">
        <v>292</v>
      </c>
      <c r="D25" s="10" t="s">
        <v>310</v>
      </c>
      <c r="E25" s="10" t="s">
        <v>204</v>
      </c>
      <c r="F25" s="10" t="s">
        <v>1102</v>
      </c>
      <c r="G25" s="10" t="s">
        <v>1107</v>
      </c>
      <c r="H25" s="10" t="s">
        <v>166</v>
      </c>
      <c r="I25" s="10" t="s">
        <v>51</v>
      </c>
      <c r="J25" s="10" t="s">
        <v>1111</v>
      </c>
      <c r="K25" s="10" t="s">
        <v>311</v>
      </c>
      <c r="L25" s="10" t="s">
        <v>1104</v>
      </c>
      <c r="M25" s="10" t="s">
        <v>1105</v>
      </c>
      <c r="N25" s="10" t="s">
        <v>1109</v>
      </c>
      <c r="O25" s="10" t="s">
        <v>296</v>
      </c>
      <c r="P25" s="10" t="s">
        <v>175</v>
      </c>
      <c r="Q25" s="10" t="s">
        <v>175</v>
      </c>
      <c r="R25" s="10" t="s">
        <v>175</v>
      </c>
      <c r="S25" s="10" t="s">
        <v>175</v>
      </c>
      <c r="T25" s="10" t="s">
        <v>175</v>
      </c>
      <c r="U25" s="10" t="s">
        <v>175</v>
      </c>
      <c r="V25" s="10" t="s">
        <v>175</v>
      </c>
      <c r="W25" s="10" t="s">
        <v>175</v>
      </c>
      <c r="X25" s="10" t="s">
        <v>166</v>
      </c>
      <c r="Y25" s="10" t="s">
        <v>166</v>
      </c>
      <c r="Z25" s="10" t="s">
        <v>175</v>
      </c>
    </row>
    <row r="26" customFormat="false" ht="15" hidden="false" customHeight="true" outlineLevel="0" collapsed="false">
      <c r="A26" s="10" t="s">
        <v>314</v>
      </c>
      <c r="B26" s="10" t="s">
        <v>315</v>
      </c>
      <c r="C26" s="10" t="s">
        <v>316</v>
      </c>
      <c r="D26" s="10" t="s">
        <v>317</v>
      </c>
      <c r="E26" s="10" t="s">
        <v>156</v>
      </c>
      <c r="F26" s="10" t="s">
        <v>1112</v>
      </c>
      <c r="G26" s="10" t="s">
        <v>1113</v>
      </c>
      <c r="H26" s="10" t="s">
        <v>169</v>
      </c>
      <c r="I26" s="10" t="s">
        <v>62</v>
      </c>
      <c r="J26" s="10" t="s">
        <v>198</v>
      </c>
      <c r="K26" s="10" t="s">
        <v>198</v>
      </c>
      <c r="L26" s="10" t="s">
        <v>1104</v>
      </c>
      <c r="M26" s="10" t="s">
        <v>1114</v>
      </c>
      <c r="N26" s="10" t="s">
        <v>1106</v>
      </c>
      <c r="O26" s="10" t="s">
        <v>319</v>
      </c>
      <c r="P26" s="10" t="s">
        <v>175</v>
      </c>
      <c r="Q26" s="10" t="s">
        <v>175</v>
      </c>
      <c r="R26" s="10" t="s">
        <v>175</v>
      </c>
      <c r="S26" s="10" t="s">
        <v>175</v>
      </c>
      <c r="T26" s="10" t="s">
        <v>175</v>
      </c>
      <c r="U26" s="10" t="s">
        <v>175</v>
      </c>
      <c r="V26" s="10" t="s">
        <v>175</v>
      </c>
      <c r="W26" s="10" t="s">
        <v>175</v>
      </c>
      <c r="X26" s="10" t="s">
        <v>169</v>
      </c>
      <c r="Y26" s="10" t="s">
        <v>175</v>
      </c>
      <c r="Z26" s="10" t="s">
        <v>175</v>
      </c>
    </row>
    <row r="27" customFormat="false" ht="15" hidden="false" customHeight="true" outlineLevel="0" collapsed="false">
      <c r="A27" s="10" t="s">
        <v>321</v>
      </c>
      <c r="B27" s="10" t="s">
        <v>315</v>
      </c>
      <c r="C27" s="10" t="s">
        <v>316</v>
      </c>
      <c r="D27" s="10" t="s">
        <v>322</v>
      </c>
      <c r="E27" s="10" t="s">
        <v>156</v>
      </c>
      <c r="F27" s="10" t="s">
        <v>1115</v>
      </c>
      <c r="G27" s="10" t="s">
        <v>1113</v>
      </c>
      <c r="H27" s="10" t="s">
        <v>169</v>
      </c>
      <c r="I27" s="10" t="s">
        <v>62</v>
      </c>
      <c r="J27" s="10" t="s">
        <v>1108</v>
      </c>
      <c r="K27" s="10" t="s">
        <v>323</v>
      </c>
      <c r="L27" s="10" t="s">
        <v>1104</v>
      </c>
      <c r="M27" s="10" t="s">
        <v>1114</v>
      </c>
      <c r="N27" s="10" t="s">
        <v>1106</v>
      </c>
      <c r="O27" s="10" t="s">
        <v>319</v>
      </c>
      <c r="P27" s="10" t="s">
        <v>175</v>
      </c>
      <c r="Q27" s="10" t="s">
        <v>175</v>
      </c>
      <c r="R27" s="10" t="s">
        <v>175</v>
      </c>
      <c r="S27" s="10" t="s">
        <v>175</v>
      </c>
      <c r="T27" s="10" t="s">
        <v>175</v>
      </c>
      <c r="U27" s="10" t="s">
        <v>175</v>
      </c>
      <c r="V27" s="10" t="s">
        <v>175</v>
      </c>
      <c r="W27" s="10" t="s">
        <v>175</v>
      </c>
      <c r="X27" s="10" t="s">
        <v>169</v>
      </c>
      <c r="Y27" s="10" t="s">
        <v>175</v>
      </c>
      <c r="Z27" s="10" t="s">
        <v>175</v>
      </c>
    </row>
    <row r="28" customFormat="false" ht="15" hidden="false" customHeight="true" outlineLevel="0" collapsed="false">
      <c r="A28" s="10" t="s">
        <v>326</v>
      </c>
      <c r="B28" s="10" t="s">
        <v>315</v>
      </c>
      <c r="C28" s="10" t="s">
        <v>327</v>
      </c>
      <c r="D28" s="10" t="s">
        <v>328</v>
      </c>
      <c r="E28" s="10" t="s">
        <v>139</v>
      </c>
      <c r="F28" s="10" t="s">
        <v>1102</v>
      </c>
      <c r="G28" s="10" t="s">
        <v>1116</v>
      </c>
      <c r="H28" s="10" t="s">
        <v>169</v>
      </c>
      <c r="I28" s="10" t="s">
        <v>62</v>
      </c>
      <c r="J28" s="10" t="s">
        <v>1108</v>
      </c>
      <c r="K28" s="10" t="s">
        <v>329</v>
      </c>
      <c r="L28" s="10" t="s">
        <v>1104</v>
      </c>
      <c r="M28" s="10" t="s">
        <v>1114</v>
      </c>
      <c r="N28" s="10" t="s">
        <v>1106</v>
      </c>
      <c r="O28" s="10" t="s">
        <v>331</v>
      </c>
      <c r="P28" s="10" t="s">
        <v>169</v>
      </c>
      <c r="Q28" s="10" t="s">
        <v>175</v>
      </c>
      <c r="R28" s="10" t="s">
        <v>175</v>
      </c>
      <c r="S28" s="10" t="s">
        <v>175</v>
      </c>
      <c r="T28" s="10" t="s">
        <v>175</v>
      </c>
      <c r="U28" s="10" t="s">
        <v>175</v>
      </c>
      <c r="V28" s="10" t="s">
        <v>175</v>
      </c>
      <c r="W28" s="10" t="s">
        <v>175</v>
      </c>
      <c r="X28" s="10" t="s">
        <v>175</v>
      </c>
      <c r="Y28" s="10" t="s">
        <v>175</v>
      </c>
      <c r="Z28" s="10" t="s">
        <v>175</v>
      </c>
    </row>
    <row r="29" customFormat="false" ht="15" hidden="false" customHeight="true" outlineLevel="0" collapsed="false">
      <c r="A29" s="10" t="s">
        <v>333</v>
      </c>
      <c r="B29" s="10" t="s">
        <v>315</v>
      </c>
      <c r="C29" s="10" t="s">
        <v>327</v>
      </c>
      <c r="D29" s="10" t="s">
        <v>310</v>
      </c>
      <c r="E29" s="10" t="s">
        <v>158</v>
      </c>
      <c r="F29" s="10" t="s">
        <v>1102</v>
      </c>
      <c r="G29" s="10" t="s">
        <v>1116</v>
      </c>
      <c r="H29" s="10" t="s">
        <v>169</v>
      </c>
      <c r="I29" s="10" t="s">
        <v>62</v>
      </c>
      <c r="J29" s="10" t="s">
        <v>198</v>
      </c>
      <c r="K29" s="10" t="s">
        <v>198</v>
      </c>
      <c r="L29" s="10" t="s">
        <v>1104</v>
      </c>
      <c r="M29" s="10" t="s">
        <v>1114</v>
      </c>
      <c r="N29" s="10" t="s">
        <v>1106</v>
      </c>
      <c r="O29" s="10" t="s">
        <v>331</v>
      </c>
      <c r="P29" s="10" t="s">
        <v>175</v>
      </c>
      <c r="Q29" s="10" t="s">
        <v>175</v>
      </c>
      <c r="R29" s="10" t="s">
        <v>175</v>
      </c>
      <c r="S29" s="10" t="s">
        <v>175</v>
      </c>
      <c r="T29" s="10" t="s">
        <v>175</v>
      </c>
      <c r="U29" s="10" t="s">
        <v>175</v>
      </c>
      <c r="V29" s="10" t="s">
        <v>175</v>
      </c>
      <c r="W29" s="10" t="s">
        <v>175</v>
      </c>
      <c r="X29" s="10" t="s">
        <v>175</v>
      </c>
      <c r="Y29" s="10" t="s">
        <v>169</v>
      </c>
      <c r="Z29" s="10" t="s">
        <v>175</v>
      </c>
    </row>
    <row r="30" customFormat="false" ht="15" hidden="false" customHeight="true" outlineLevel="0" collapsed="false">
      <c r="A30" s="10" t="s">
        <v>336</v>
      </c>
      <c r="B30" s="10" t="s">
        <v>315</v>
      </c>
      <c r="C30" s="10" t="s">
        <v>327</v>
      </c>
      <c r="D30" s="10" t="s">
        <v>337</v>
      </c>
      <c r="E30" s="10" t="s">
        <v>158</v>
      </c>
      <c r="F30" s="10" t="s">
        <v>1102</v>
      </c>
      <c r="G30" s="10" t="s">
        <v>1116</v>
      </c>
      <c r="H30" s="10" t="s">
        <v>169</v>
      </c>
      <c r="I30" s="10" t="s">
        <v>62</v>
      </c>
      <c r="J30" s="10" t="s">
        <v>1111</v>
      </c>
      <c r="K30" s="10" t="s">
        <v>198</v>
      </c>
      <c r="L30" s="10" t="s">
        <v>1104</v>
      </c>
      <c r="M30" s="10" t="s">
        <v>1114</v>
      </c>
      <c r="N30" s="10" t="s">
        <v>1106</v>
      </c>
      <c r="O30" s="10" t="s">
        <v>331</v>
      </c>
      <c r="P30" s="10" t="s">
        <v>175</v>
      </c>
      <c r="Q30" s="10" t="s">
        <v>175</v>
      </c>
      <c r="R30" s="10" t="s">
        <v>175</v>
      </c>
      <c r="S30" s="10" t="s">
        <v>175</v>
      </c>
      <c r="T30" s="10" t="s">
        <v>175</v>
      </c>
      <c r="U30" s="10" t="s">
        <v>175</v>
      </c>
      <c r="V30" s="10" t="s">
        <v>175</v>
      </c>
      <c r="W30" s="10" t="s">
        <v>175</v>
      </c>
      <c r="X30" s="10" t="s">
        <v>175</v>
      </c>
      <c r="Y30" s="10" t="s">
        <v>169</v>
      </c>
      <c r="Z30" s="10" t="s">
        <v>175</v>
      </c>
    </row>
    <row r="31" customFormat="false" ht="15" hidden="false" customHeight="true" outlineLevel="0" collapsed="false">
      <c r="A31" s="10" t="s">
        <v>339</v>
      </c>
      <c r="B31" s="10" t="s">
        <v>315</v>
      </c>
      <c r="C31" s="10" t="s">
        <v>327</v>
      </c>
      <c r="D31" s="10" t="s">
        <v>340</v>
      </c>
      <c r="E31" s="10" t="s">
        <v>161</v>
      </c>
      <c r="F31" s="10" t="s">
        <v>1102</v>
      </c>
      <c r="G31" s="10" t="s">
        <v>1116</v>
      </c>
      <c r="H31" s="10" t="s">
        <v>169</v>
      </c>
      <c r="I31" s="10" t="s">
        <v>62</v>
      </c>
      <c r="J31" s="10" t="s">
        <v>198</v>
      </c>
      <c r="K31" s="10" t="s">
        <v>198</v>
      </c>
      <c r="L31" s="10" t="s">
        <v>1104</v>
      </c>
      <c r="M31" s="10" t="s">
        <v>1114</v>
      </c>
      <c r="N31" s="10" t="s">
        <v>1106</v>
      </c>
      <c r="O31" s="10" t="s">
        <v>331</v>
      </c>
      <c r="P31" s="10" t="s">
        <v>175</v>
      </c>
      <c r="Q31" s="10" t="s">
        <v>175</v>
      </c>
      <c r="R31" s="10" t="s">
        <v>175</v>
      </c>
      <c r="S31" s="10" t="s">
        <v>175</v>
      </c>
      <c r="T31" s="10" t="s">
        <v>175</v>
      </c>
      <c r="U31" s="10" t="s">
        <v>175</v>
      </c>
      <c r="V31" s="10" t="s">
        <v>175</v>
      </c>
      <c r="W31" s="10" t="s">
        <v>175</v>
      </c>
      <c r="X31" s="10" t="s">
        <v>175</v>
      </c>
      <c r="Y31" s="10" t="s">
        <v>175</v>
      </c>
      <c r="Z31" s="10" t="s">
        <v>169</v>
      </c>
    </row>
    <row r="32" customFormat="false" ht="15" hidden="false" customHeight="true" outlineLevel="0" collapsed="false">
      <c r="A32" s="10" t="s">
        <v>342</v>
      </c>
      <c r="B32" s="10" t="s">
        <v>315</v>
      </c>
      <c r="C32" s="10" t="s">
        <v>343</v>
      </c>
      <c r="D32" s="10" t="s">
        <v>344</v>
      </c>
      <c r="E32" s="10" t="s">
        <v>156</v>
      </c>
      <c r="F32" s="10" t="s">
        <v>1117</v>
      </c>
      <c r="G32" s="10" t="s">
        <v>1113</v>
      </c>
      <c r="H32" s="10" t="s">
        <v>169</v>
      </c>
      <c r="I32" s="10" t="s">
        <v>62</v>
      </c>
      <c r="J32" s="10" t="s">
        <v>198</v>
      </c>
      <c r="K32" s="10" t="s">
        <v>198</v>
      </c>
      <c r="L32" s="10" t="s">
        <v>1104</v>
      </c>
      <c r="M32" s="10" t="s">
        <v>1114</v>
      </c>
      <c r="N32" s="10" t="s">
        <v>1118</v>
      </c>
      <c r="O32" s="10" t="s">
        <v>347</v>
      </c>
      <c r="P32" s="10" t="s">
        <v>175</v>
      </c>
      <c r="Q32" s="10" t="s">
        <v>175</v>
      </c>
      <c r="R32" s="10" t="s">
        <v>175</v>
      </c>
      <c r="S32" s="10" t="s">
        <v>175</v>
      </c>
      <c r="T32" s="10" t="s">
        <v>175</v>
      </c>
      <c r="U32" s="10" t="s">
        <v>175</v>
      </c>
      <c r="V32" s="10" t="s">
        <v>175</v>
      </c>
      <c r="W32" s="10" t="s">
        <v>175</v>
      </c>
      <c r="X32" s="10" t="s">
        <v>169</v>
      </c>
      <c r="Y32" s="10" t="s">
        <v>175</v>
      </c>
      <c r="Z32" s="10" t="s">
        <v>175</v>
      </c>
    </row>
    <row r="33" customFormat="false" ht="15" hidden="false" customHeight="true" outlineLevel="0" collapsed="false">
      <c r="A33" s="10" t="s">
        <v>349</v>
      </c>
      <c r="B33" s="10" t="s">
        <v>315</v>
      </c>
      <c r="C33" s="10" t="s">
        <v>343</v>
      </c>
      <c r="D33" s="10" t="s">
        <v>350</v>
      </c>
      <c r="E33" s="10" t="s">
        <v>351</v>
      </c>
      <c r="F33" s="10" t="s">
        <v>1117</v>
      </c>
      <c r="G33" s="10" t="s">
        <v>1113</v>
      </c>
      <c r="H33" s="10" t="s">
        <v>169</v>
      </c>
      <c r="I33" s="10" t="s">
        <v>62</v>
      </c>
      <c r="J33" s="10" t="s">
        <v>198</v>
      </c>
      <c r="K33" s="10" t="s">
        <v>198</v>
      </c>
      <c r="L33" s="10" t="s">
        <v>1104</v>
      </c>
      <c r="M33" s="10" t="s">
        <v>1114</v>
      </c>
      <c r="N33" s="10" t="s">
        <v>1118</v>
      </c>
      <c r="O33" s="10" t="s">
        <v>347</v>
      </c>
      <c r="P33" s="10" t="s">
        <v>175</v>
      </c>
      <c r="Q33" s="10" t="s">
        <v>175</v>
      </c>
      <c r="R33" s="10" t="s">
        <v>175</v>
      </c>
      <c r="S33" s="10" t="s">
        <v>175</v>
      </c>
      <c r="T33" s="10" t="s">
        <v>175</v>
      </c>
      <c r="U33" s="10" t="s">
        <v>175</v>
      </c>
      <c r="V33" s="10" t="s">
        <v>175</v>
      </c>
      <c r="W33" s="10" t="s">
        <v>175</v>
      </c>
      <c r="X33" s="10" t="s">
        <v>169</v>
      </c>
      <c r="Y33" s="10" t="s">
        <v>175</v>
      </c>
      <c r="Z33" s="10" t="s">
        <v>169</v>
      </c>
    </row>
    <row r="34" customFormat="false" ht="15" hidden="false" customHeight="true" outlineLevel="0" collapsed="false">
      <c r="A34" s="10" t="s">
        <v>355</v>
      </c>
      <c r="B34" s="10" t="s">
        <v>315</v>
      </c>
      <c r="C34" s="10" t="s">
        <v>343</v>
      </c>
      <c r="D34" s="10" t="s">
        <v>356</v>
      </c>
      <c r="E34" s="10" t="s">
        <v>161</v>
      </c>
      <c r="F34" s="10" t="s">
        <v>1117</v>
      </c>
      <c r="G34" s="10" t="s">
        <v>1113</v>
      </c>
      <c r="H34" s="10" t="s">
        <v>169</v>
      </c>
      <c r="I34" s="10" t="s">
        <v>62</v>
      </c>
      <c r="J34" s="10" t="s">
        <v>1108</v>
      </c>
      <c r="K34" s="10" t="s">
        <v>357</v>
      </c>
      <c r="L34" s="10" t="s">
        <v>1104</v>
      </c>
      <c r="M34" s="10" t="s">
        <v>1114</v>
      </c>
      <c r="N34" s="10" t="s">
        <v>1118</v>
      </c>
      <c r="O34" s="10" t="s">
        <v>347</v>
      </c>
      <c r="P34" s="10" t="s">
        <v>175</v>
      </c>
      <c r="Q34" s="10" t="s">
        <v>175</v>
      </c>
      <c r="R34" s="10" t="s">
        <v>175</v>
      </c>
      <c r="S34" s="10" t="s">
        <v>175</v>
      </c>
      <c r="T34" s="10" t="s">
        <v>175</v>
      </c>
      <c r="U34" s="10" t="s">
        <v>175</v>
      </c>
      <c r="V34" s="10" t="s">
        <v>175</v>
      </c>
      <c r="W34" s="10" t="s">
        <v>175</v>
      </c>
      <c r="X34" s="10" t="s">
        <v>175</v>
      </c>
      <c r="Y34" s="10" t="s">
        <v>175</v>
      </c>
      <c r="Z34" s="10" t="s">
        <v>169</v>
      </c>
    </row>
    <row r="35" customFormat="false" ht="15" hidden="false" customHeight="true" outlineLevel="0" collapsed="false">
      <c r="A35" s="10" t="s">
        <v>360</v>
      </c>
      <c r="B35" s="10" t="s">
        <v>315</v>
      </c>
      <c r="C35" s="10" t="s">
        <v>343</v>
      </c>
      <c r="D35" s="10" t="s">
        <v>361</v>
      </c>
      <c r="E35" s="10" t="s">
        <v>156</v>
      </c>
      <c r="F35" s="10" t="s">
        <v>1117</v>
      </c>
      <c r="G35" s="10" t="s">
        <v>1113</v>
      </c>
      <c r="H35" s="10" t="s">
        <v>169</v>
      </c>
      <c r="I35" s="10" t="s">
        <v>62</v>
      </c>
      <c r="J35" s="10" t="s">
        <v>198</v>
      </c>
      <c r="K35" s="10" t="s">
        <v>198</v>
      </c>
      <c r="L35" s="10" t="s">
        <v>1104</v>
      </c>
      <c r="M35" s="10" t="s">
        <v>1114</v>
      </c>
      <c r="N35" s="10" t="s">
        <v>1118</v>
      </c>
      <c r="O35" s="10" t="s">
        <v>347</v>
      </c>
      <c r="P35" s="10" t="s">
        <v>175</v>
      </c>
      <c r="Q35" s="10" t="s">
        <v>175</v>
      </c>
      <c r="R35" s="10" t="s">
        <v>175</v>
      </c>
      <c r="S35" s="10" t="s">
        <v>175</v>
      </c>
      <c r="T35" s="10" t="s">
        <v>175</v>
      </c>
      <c r="U35" s="10" t="s">
        <v>175</v>
      </c>
      <c r="V35" s="10" t="s">
        <v>175</v>
      </c>
      <c r="W35" s="10" t="s">
        <v>175</v>
      </c>
      <c r="X35" s="10" t="s">
        <v>169</v>
      </c>
      <c r="Y35" s="10" t="s">
        <v>175</v>
      </c>
      <c r="Z35" s="10" t="s">
        <v>175</v>
      </c>
    </row>
    <row r="36" customFormat="false" ht="15" hidden="false" customHeight="true" outlineLevel="0" collapsed="false">
      <c r="A36" s="10" t="s">
        <v>364</v>
      </c>
      <c r="B36" s="10" t="s">
        <v>315</v>
      </c>
      <c r="C36" s="10" t="s">
        <v>343</v>
      </c>
      <c r="D36" s="10" t="s">
        <v>365</v>
      </c>
      <c r="E36" s="10" t="s">
        <v>156</v>
      </c>
      <c r="F36" s="10" t="s">
        <v>1117</v>
      </c>
      <c r="G36" s="10" t="s">
        <v>1113</v>
      </c>
      <c r="H36" s="10" t="s">
        <v>169</v>
      </c>
      <c r="I36" s="10" t="s">
        <v>62</v>
      </c>
      <c r="J36" s="10" t="s">
        <v>1108</v>
      </c>
      <c r="K36" s="10" t="s">
        <v>366</v>
      </c>
      <c r="L36" s="10" t="s">
        <v>1104</v>
      </c>
      <c r="M36" s="10" t="s">
        <v>1114</v>
      </c>
      <c r="N36" s="10" t="s">
        <v>1118</v>
      </c>
      <c r="O36" s="10" t="s">
        <v>347</v>
      </c>
      <c r="P36" s="10" t="s">
        <v>175</v>
      </c>
      <c r="Q36" s="10" t="s">
        <v>175</v>
      </c>
      <c r="R36" s="10" t="s">
        <v>175</v>
      </c>
      <c r="S36" s="10" t="s">
        <v>175</v>
      </c>
      <c r="T36" s="10" t="s">
        <v>175</v>
      </c>
      <c r="U36" s="10" t="s">
        <v>175</v>
      </c>
      <c r="V36" s="10" t="s">
        <v>175</v>
      </c>
      <c r="W36" s="10" t="s">
        <v>175</v>
      </c>
      <c r="X36" s="10" t="s">
        <v>169</v>
      </c>
      <c r="Y36" s="10" t="s">
        <v>175</v>
      </c>
      <c r="Z36" s="10" t="s">
        <v>175</v>
      </c>
    </row>
    <row r="37" customFormat="false" ht="15" hidden="false" customHeight="true" outlineLevel="0" collapsed="false">
      <c r="A37" s="10" t="s">
        <v>369</v>
      </c>
      <c r="B37" s="10" t="s">
        <v>315</v>
      </c>
      <c r="C37" s="10" t="s">
        <v>343</v>
      </c>
      <c r="D37" s="10" t="s">
        <v>370</v>
      </c>
      <c r="E37" s="10" t="s">
        <v>156</v>
      </c>
      <c r="F37" s="10" t="s">
        <v>1117</v>
      </c>
      <c r="G37" s="10" t="s">
        <v>1113</v>
      </c>
      <c r="H37" s="10" t="s">
        <v>169</v>
      </c>
      <c r="I37" s="10" t="s">
        <v>62</v>
      </c>
      <c r="J37" s="10" t="s">
        <v>1108</v>
      </c>
      <c r="K37" s="10" t="s">
        <v>357</v>
      </c>
      <c r="L37" s="10" t="s">
        <v>1104</v>
      </c>
      <c r="M37" s="10" t="s">
        <v>1114</v>
      </c>
      <c r="N37" s="10" t="s">
        <v>1118</v>
      </c>
      <c r="O37" s="10" t="s">
        <v>347</v>
      </c>
      <c r="P37" s="10" t="s">
        <v>175</v>
      </c>
      <c r="Q37" s="10" t="s">
        <v>175</v>
      </c>
      <c r="R37" s="10" t="s">
        <v>175</v>
      </c>
      <c r="S37" s="10" t="s">
        <v>175</v>
      </c>
      <c r="T37" s="10" t="s">
        <v>175</v>
      </c>
      <c r="U37" s="10" t="s">
        <v>175</v>
      </c>
      <c r="V37" s="10" t="s">
        <v>175</v>
      </c>
      <c r="W37" s="10" t="s">
        <v>175</v>
      </c>
      <c r="X37" s="10" t="s">
        <v>169</v>
      </c>
      <c r="Y37" s="10" t="s">
        <v>175</v>
      </c>
      <c r="Z37" s="10" t="s">
        <v>175</v>
      </c>
    </row>
    <row r="38" customFormat="false" ht="15" hidden="false" customHeight="true" outlineLevel="0" collapsed="false">
      <c r="A38" s="10" t="s">
        <v>373</v>
      </c>
      <c r="B38" s="10" t="s">
        <v>315</v>
      </c>
      <c r="C38" s="10" t="s">
        <v>343</v>
      </c>
      <c r="D38" s="10" t="s">
        <v>374</v>
      </c>
      <c r="E38" s="10" t="s">
        <v>156</v>
      </c>
      <c r="F38" s="10" t="s">
        <v>1117</v>
      </c>
      <c r="G38" s="10" t="s">
        <v>1113</v>
      </c>
      <c r="H38" s="10" t="s">
        <v>169</v>
      </c>
      <c r="I38" s="10" t="s">
        <v>62</v>
      </c>
      <c r="J38" s="10" t="s">
        <v>1108</v>
      </c>
      <c r="K38" s="10" t="s">
        <v>375</v>
      </c>
      <c r="L38" s="10" t="s">
        <v>1104</v>
      </c>
      <c r="M38" s="10" t="s">
        <v>1114</v>
      </c>
      <c r="N38" s="10" t="s">
        <v>1118</v>
      </c>
      <c r="O38" s="10" t="s">
        <v>347</v>
      </c>
      <c r="P38" s="10" t="s">
        <v>175</v>
      </c>
      <c r="Q38" s="10" t="s">
        <v>175</v>
      </c>
      <c r="R38" s="10" t="s">
        <v>175</v>
      </c>
      <c r="S38" s="10" t="s">
        <v>175</v>
      </c>
      <c r="T38" s="10" t="s">
        <v>175</v>
      </c>
      <c r="U38" s="10" t="s">
        <v>175</v>
      </c>
      <c r="V38" s="10" t="s">
        <v>175</v>
      </c>
      <c r="W38" s="10" t="s">
        <v>175</v>
      </c>
      <c r="X38" s="10" t="s">
        <v>169</v>
      </c>
      <c r="Y38" s="10" t="s">
        <v>175</v>
      </c>
      <c r="Z38" s="10" t="s">
        <v>175</v>
      </c>
    </row>
    <row r="39" customFormat="false" ht="15" hidden="false" customHeight="true" outlineLevel="0" collapsed="false">
      <c r="A39" s="10" t="s">
        <v>378</v>
      </c>
      <c r="B39" s="10" t="s">
        <v>315</v>
      </c>
      <c r="C39" s="10" t="s">
        <v>343</v>
      </c>
      <c r="D39" s="10" t="s">
        <v>379</v>
      </c>
      <c r="E39" s="10" t="s">
        <v>156</v>
      </c>
      <c r="F39" s="10" t="s">
        <v>1117</v>
      </c>
      <c r="G39" s="10" t="s">
        <v>1113</v>
      </c>
      <c r="H39" s="10" t="s">
        <v>169</v>
      </c>
      <c r="I39" s="10" t="s">
        <v>62</v>
      </c>
      <c r="J39" s="10" t="s">
        <v>1108</v>
      </c>
      <c r="K39" s="10" t="s">
        <v>380</v>
      </c>
      <c r="L39" s="10" t="s">
        <v>1104</v>
      </c>
      <c r="M39" s="10" t="s">
        <v>1114</v>
      </c>
      <c r="N39" s="10" t="s">
        <v>1118</v>
      </c>
      <c r="O39" s="10" t="s">
        <v>347</v>
      </c>
      <c r="P39" s="10" t="s">
        <v>175</v>
      </c>
      <c r="Q39" s="10" t="s">
        <v>175</v>
      </c>
      <c r="R39" s="10" t="s">
        <v>175</v>
      </c>
      <c r="S39" s="10" t="s">
        <v>175</v>
      </c>
      <c r="T39" s="10" t="s">
        <v>175</v>
      </c>
      <c r="U39" s="10" t="s">
        <v>175</v>
      </c>
      <c r="V39" s="10" t="s">
        <v>175</v>
      </c>
      <c r="W39" s="10" t="s">
        <v>175</v>
      </c>
      <c r="X39" s="10" t="s">
        <v>169</v>
      </c>
      <c r="Y39" s="10" t="s">
        <v>175</v>
      </c>
      <c r="Z39" s="10" t="s">
        <v>175</v>
      </c>
    </row>
    <row r="40" customFormat="false" ht="15" hidden="false" customHeight="true" outlineLevel="0" collapsed="false">
      <c r="A40" s="10" t="s">
        <v>383</v>
      </c>
      <c r="B40" s="10" t="s">
        <v>315</v>
      </c>
      <c r="C40" s="10" t="s">
        <v>384</v>
      </c>
      <c r="D40" s="10" t="s">
        <v>273</v>
      </c>
      <c r="E40" s="10" t="s">
        <v>139</v>
      </c>
      <c r="F40" s="10" t="s">
        <v>1117</v>
      </c>
      <c r="G40" s="10" t="s">
        <v>1116</v>
      </c>
      <c r="H40" s="10" t="s">
        <v>169</v>
      </c>
      <c r="I40" s="10" t="s">
        <v>62</v>
      </c>
      <c r="J40" s="10" t="s">
        <v>1108</v>
      </c>
      <c r="K40" s="10" t="s">
        <v>385</v>
      </c>
      <c r="L40" s="10" t="s">
        <v>1104</v>
      </c>
      <c r="M40" s="10" t="s">
        <v>1114</v>
      </c>
      <c r="N40" s="10" t="s">
        <v>1118</v>
      </c>
      <c r="O40" s="10" t="s">
        <v>347</v>
      </c>
      <c r="P40" s="10" t="s">
        <v>169</v>
      </c>
      <c r="Q40" s="10" t="s">
        <v>175</v>
      </c>
      <c r="R40" s="10" t="s">
        <v>175</v>
      </c>
      <c r="S40" s="10" t="s">
        <v>175</v>
      </c>
      <c r="T40" s="10" t="s">
        <v>175</v>
      </c>
      <c r="U40" s="10" t="s">
        <v>175</v>
      </c>
      <c r="V40" s="10" t="s">
        <v>175</v>
      </c>
      <c r="W40" s="10" t="s">
        <v>175</v>
      </c>
      <c r="X40" s="10" t="s">
        <v>175</v>
      </c>
      <c r="Y40" s="10" t="s">
        <v>175</v>
      </c>
      <c r="Z40" s="10" t="s">
        <v>175</v>
      </c>
    </row>
    <row r="41" customFormat="false" ht="15" hidden="false" customHeight="true" outlineLevel="0" collapsed="false">
      <c r="A41" s="10" t="s">
        <v>388</v>
      </c>
      <c r="B41" s="10" t="s">
        <v>389</v>
      </c>
      <c r="C41" s="10" t="s">
        <v>390</v>
      </c>
      <c r="D41" s="10" t="s">
        <v>391</v>
      </c>
      <c r="E41" s="10" t="s">
        <v>393</v>
      </c>
      <c r="F41" s="10" t="s">
        <v>1119</v>
      </c>
      <c r="G41" s="10" t="s">
        <v>1120</v>
      </c>
      <c r="H41" s="10" t="s">
        <v>169</v>
      </c>
      <c r="I41" s="10" t="s">
        <v>62</v>
      </c>
      <c r="J41" s="10" t="s">
        <v>198</v>
      </c>
      <c r="K41" s="10" t="s">
        <v>198</v>
      </c>
      <c r="L41" s="10" t="s">
        <v>1104</v>
      </c>
      <c r="M41" s="10" t="s">
        <v>1121</v>
      </c>
      <c r="N41" s="10" t="s">
        <v>1106</v>
      </c>
      <c r="O41" s="10" t="s">
        <v>395</v>
      </c>
      <c r="P41" s="10" t="s">
        <v>169</v>
      </c>
      <c r="Q41" s="10" t="s">
        <v>175</v>
      </c>
      <c r="R41" s="10" t="s">
        <v>175</v>
      </c>
      <c r="S41" s="10" t="s">
        <v>175</v>
      </c>
      <c r="T41" s="10" t="s">
        <v>169</v>
      </c>
      <c r="U41" s="10" t="s">
        <v>175</v>
      </c>
      <c r="V41" s="10" t="s">
        <v>175</v>
      </c>
      <c r="W41" s="10" t="s">
        <v>175</v>
      </c>
      <c r="X41" s="10" t="s">
        <v>175</v>
      </c>
      <c r="Y41" s="10" t="s">
        <v>169</v>
      </c>
      <c r="Z41" s="10" t="s">
        <v>175</v>
      </c>
    </row>
    <row r="42" customFormat="false" ht="15" hidden="false" customHeight="true" outlineLevel="0" collapsed="false">
      <c r="A42" s="10" t="s">
        <v>398</v>
      </c>
      <c r="B42" s="10" t="s">
        <v>389</v>
      </c>
      <c r="C42" s="10" t="s">
        <v>390</v>
      </c>
      <c r="D42" s="10" t="s">
        <v>399</v>
      </c>
      <c r="E42" s="10" t="s">
        <v>400</v>
      </c>
      <c r="F42" s="10" t="s">
        <v>1119</v>
      </c>
      <c r="G42" s="10" t="s">
        <v>1120</v>
      </c>
      <c r="H42" s="10" t="s">
        <v>169</v>
      </c>
      <c r="I42" s="10" t="s">
        <v>51</v>
      </c>
      <c r="J42" s="10" t="s">
        <v>198</v>
      </c>
      <c r="K42" s="10" t="s">
        <v>198</v>
      </c>
      <c r="L42" s="10" t="s">
        <v>1104</v>
      </c>
      <c r="M42" s="10" t="s">
        <v>1121</v>
      </c>
      <c r="N42" s="10" t="s">
        <v>1106</v>
      </c>
      <c r="O42" s="10" t="s">
        <v>395</v>
      </c>
      <c r="P42" s="10" t="s">
        <v>169</v>
      </c>
      <c r="Q42" s="10" t="s">
        <v>175</v>
      </c>
      <c r="R42" s="10" t="s">
        <v>175</v>
      </c>
      <c r="S42" s="10" t="s">
        <v>169</v>
      </c>
      <c r="T42" s="10" t="s">
        <v>169</v>
      </c>
      <c r="U42" s="10" t="s">
        <v>175</v>
      </c>
      <c r="V42" s="10" t="s">
        <v>175</v>
      </c>
      <c r="W42" s="10" t="s">
        <v>175</v>
      </c>
      <c r="X42" s="10" t="s">
        <v>175</v>
      </c>
      <c r="Y42" s="10" t="s">
        <v>169</v>
      </c>
      <c r="Z42" s="10" t="s">
        <v>175</v>
      </c>
    </row>
    <row r="43" customFormat="false" ht="15" hidden="false" customHeight="true" outlineLevel="0" collapsed="false">
      <c r="A43" s="10" t="s">
        <v>403</v>
      </c>
      <c r="B43" s="10" t="s">
        <v>389</v>
      </c>
      <c r="C43" s="10" t="s">
        <v>390</v>
      </c>
      <c r="D43" s="10" t="s">
        <v>404</v>
      </c>
      <c r="E43" s="10" t="s">
        <v>393</v>
      </c>
      <c r="F43" s="10" t="s">
        <v>1119</v>
      </c>
      <c r="G43" s="10" t="s">
        <v>1120</v>
      </c>
      <c r="H43" s="10" t="s">
        <v>169</v>
      </c>
      <c r="I43" s="10" t="s">
        <v>51</v>
      </c>
      <c r="J43" s="10" t="s">
        <v>198</v>
      </c>
      <c r="K43" s="10" t="s">
        <v>198</v>
      </c>
      <c r="L43" s="10" t="s">
        <v>1104</v>
      </c>
      <c r="M43" s="10" t="s">
        <v>1121</v>
      </c>
      <c r="N43" s="10" t="s">
        <v>1106</v>
      </c>
      <c r="O43" s="10" t="s">
        <v>395</v>
      </c>
      <c r="P43" s="10" t="s">
        <v>169</v>
      </c>
      <c r="Q43" s="10" t="s">
        <v>175</v>
      </c>
      <c r="R43" s="10" t="s">
        <v>175</v>
      </c>
      <c r="S43" s="10" t="s">
        <v>175</v>
      </c>
      <c r="T43" s="10" t="s">
        <v>169</v>
      </c>
      <c r="U43" s="10" t="s">
        <v>175</v>
      </c>
      <c r="V43" s="10" t="s">
        <v>175</v>
      </c>
      <c r="W43" s="10" t="s">
        <v>175</v>
      </c>
      <c r="X43" s="10" t="s">
        <v>175</v>
      </c>
      <c r="Y43" s="10" t="s">
        <v>169</v>
      </c>
      <c r="Z43" s="10" t="s">
        <v>175</v>
      </c>
    </row>
    <row r="44" customFormat="false" ht="15" hidden="false" customHeight="true" outlineLevel="0" collapsed="false">
      <c r="A44" s="10" t="s">
        <v>407</v>
      </c>
      <c r="B44" s="10" t="s">
        <v>389</v>
      </c>
      <c r="C44" s="10" t="s">
        <v>390</v>
      </c>
      <c r="D44" s="10" t="s">
        <v>408</v>
      </c>
      <c r="E44" s="10" t="s">
        <v>409</v>
      </c>
      <c r="F44" s="10" t="s">
        <v>1119</v>
      </c>
      <c r="G44" s="10" t="s">
        <v>1120</v>
      </c>
      <c r="H44" s="10" t="s">
        <v>169</v>
      </c>
      <c r="I44" s="10" t="s">
        <v>51</v>
      </c>
      <c r="J44" s="10" t="s">
        <v>198</v>
      </c>
      <c r="K44" s="10" t="s">
        <v>198</v>
      </c>
      <c r="L44" s="10" t="s">
        <v>1104</v>
      </c>
      <c r="M44" s="10" t="s">
        <v>1121</v>
      </c>
      <c r="N44" s="10" t="s">
        <v>1106</v>
      </c>
      <c r="O44" s="10" t="s">
        <v>395</v>
      </c>
      <c r="P44" s="10" t="s">
        <v>175</v>
      </c>
      <c r="Q44" s="10" t="s">
        <v>175</v>
      </c>
      <c r="R44" s="10" t="s">
        <v>175</v>
      </c>
      <c r="S44" s="10" t="s">
        <v>175</v>
      </c>
      <c r="T44" s="10" t="s">
        <v>169</v>
      </c>
      <c r="U44" s="10" t="s">
        <v>169</v>
      </c>
      <c r="V44" s="10" t="s">
        <v>175</v>
      </c>
      <c r="W44" s="10" t="s">
        <v>175</v>
      </c>
      <c r="X44" s="10" t="s">
        <v>175</v>
      </c>
      <c r="Y44" s="10" t="s">
        <v>169</v>
      </c>
      <c r="Z44" s="10" t="s">
        <v>175</v>
      </c>
    </row>
    <row r="45" customFormat="false" ht="15" hidden="false" customHeight="true" outlineLevel="0" collapsed="false">
      <c r="A45" s="10" t="s">
        <v>413</v>
      </c>
      <c r="B45" s="10" t="s">
        <v>389</v>
      </c>
      <c r="C45" s="10" t="s">
        <v>390</v>
      </c>
      <c r="D45" s="10" t="s">
        <v>414</v>
      </c>
      <c r="E45" s="10" t="s">
        <v>409</v>
      </c>
      <c r="F45" s="10" t="s">
        <v>1119</v>
      </c>
      <c r="G45" s="10" t="s">
        <v>1120</v>
      </c>
      <c r="H45" s="10" t="s">
        <v>169</v>
      </c>
      <c r="I45" s="10" t="s">
        <v>51</v>
      </c>
      <c r="J45" s="10" t="s">
        <v>198</v>
      </c>
      <c r="K45" s="10" t="s">
        <v>198</v>
      </c>
      <c r="L45" s="10" t="s">
        <v>1104</v>
      </c>
      <c r="M45" s="10" t="s">
        <v>1121</v>
      </c>
      <c r="N45" s="10" t="s">
        <v>1106</v>
      </c>
      <c r="O45" s="10" t="s">
        <v>395</v>
      </c>
      <c r="P45" s="10" t="s">
        <v>175</v>
      </c>
      <c r="Q45" s="10" t="s">
        <v>175</v>
      </c>
      <c r="R45" s="10" t="s">
        <v>175</v>
      </c>
      <c r="S45" s="10" t="s">
        <v>175</v>
      </c>
      <c r="T45" s="10" t="s">
        <v>169</v>
      </c>
      <c r="U45" s="10" t="s">
        <v>169</v>
      </c>
      <c r="V45" s="10" t="s">
        <v>175</v>
      </c>
      <c r="W45" s="10" t="s">
        <v>175</v>
      </c>
      <c r="X45" s="10" t="s">
        <v>175</v>
      </c>
      <c r="Y45" s="10" t="s">
        <v>169</v>
      </c>
      <c r="Z45" s="10" t="s">
        <v>175</v>
      </c>
    </row>
    <row r="46" customFormat="false" ht="15" hidden="false" customHeight="true" outlineLevel="0" collapsed="false">
      <c r="A46" s="10" t="s">
        <v>417</v>
      </c>
      <c r="B46" s="10" t="s">
        <v>389</v>
      </c>
      <c r="C46" s="10" t="s">
        <v>390</v>
      </c>
      <c r="D46" s="10" t="s">
        <v>238</v>
      </c>
      <c r="E46" s="10" t="s">
        <v>418</v>
      </c>
      <c r="F46" s="10" t="s">
        <v>1119</v>
      </c>
      <c r="G46" s="10" t="s">
        <v>1122</v>
      </c>
      <c r="H46" s="10" t="s">
        <v>169</v>
      </c>
      <c r="I46" s="10" t="s">
        <v>51</v>
      </c>
      <c r="J46" s="10" t="s">
        <v>198</v>
      </c>
      <c r="K46" s="10" t="s">
        <v>198</v>
      </c>
      <c r="L46" s="10" t="s">
        <v>1104</v>
      </c>
      <c r="M46" s="10" t="s">
        <v>1121</v>
      </c>
      <c r="N46" s="10" t="s">
        <v>1106</v>
      </c>
      <c r="O46" s="10" t="s">
        <v>395</v>
      </c>
      <c r="P46" s="10" t="s">
        <v>169</v>
      </c>
      <c r="Q46" s="10" t="s">
        <v>175</v>
      </c>
      <c r="R46" s="10" t="s">
        <v>175</v>
      </c>
      <c r="S46" s="10" t="s">
        <v>175</v>
      </c>
      <c r="T46" s="10" t="s">
        <v>175</v>
      </c>
      <c r="U46" s="10" t="s">
        <v>169</v>
      </c>
      <c r="V46" s="10" t="s">
        <v>175</v>
      </c>
      <c r="W46" s="10" t="s">
        <v>175</v>
      </c>
      <c r="X46" s="10" t="s">
        <v>175</v>
      </c>
      <c r="Y46" s="10" t="s">
        <v>169</v>
      </c>
      <c r="Z46" s="10" t="s">
        <v>175</v>
      </c>
    </row>
    <row r="47" customFormat="false" ht="15" hidden="false" customHeight="true" outlineLevel="0" collapsed="false">
      <c r="A47" s="10" t="s">
        <v>422</v>
      </c>
      <c r="B47" s="10" t="s">
        <v>389</v>
      </c>
      <c r="C47" s="10" t="s">
        <v>390</v>
      </c>
      <c r="D47" s="10" t="s">
        <v>423</v>
      </c>
      <c r="E47" s="10" t="s">
        <v>161</v>
      </c>
      <c r="F47" s="10" t="s">
        <v>1119</v>
      </c>
      <c r="G47" s="10" t="s">
        <v>1122</v>
      </c>
      <c r="H47" s="10" t="s">
        <v>172</v>
      </c>
      <c r="I47" s="10" t="s">
        <v>51</v>
      </c>
      <c r="J47" s="10" t="s">
        <v>198</v>
      </c>
      <c r="K47" s="10" t="s">
        <v>198</v>
      </c>
      <c r="L47" s="10" t="s">
        <v>1104</v>
      </c>
      <c r="M47" s="10" t="s">
        <v>1121</v>
      </c>
      <c r="N47" s="10" t="s">
        <v>1123</v>
      </c>
      <c r="O47" s="10" t="s">
        <v>395</v>
      </c>
      <c r="P47" s="10" t="s">
        <v>175</v>
      </c>
      <c r="Q47" s="10" t="s">
        <v>175</v>
      </c>
      <c r="R47" s="10" t="s">
        <v>175</v>
      </c>
      <c r="S47" s="10" t="s">
        <v>175</v>
      </c>
      <c r="T47" s="10" t="s">
        <v>175</v>
      </c>
      <c r="U47" s="10" t="s">
        <v>175</v>
      </c>
      <c r="V47" s="10" t="s">
        <v>175</v>
      </c>
      <c r="W47" s="10" t="s">
        <v>175</v>
      </c>
      <c r="X47" s="10" t="s">
        <v>175</v>
      </c>
      <c r="Y47" s="10" t="s">
        <v>175</v>
      </c>
      <c r="Z47" s="10" t="s">
        <v>172</v>
      </c>
    </row>
    <row r="48" customFormat="false" ht="15" hidden="false" customHeight="true" outlineLevel="0" collapsed="false">
      <c r="A48" s="10" t="s">
        <v>426</v>
      </c>
      <c r="B48" s="10" t="s">
        <v>389</v>
      </c>
      <c r="C48" s="10" t="s">
        <v>390</v>
      </c>
      <c r="D48" s="10" t="s">
        <v>427</v>
      </c>
      <c r="E48" s="10" t="s">
        <v>400</v>
      </c>
      <c r="F48" s="10" t="s">
        <v>1119</v>
      </c>
      <c r="G48" s="10" t="s">
        <v>1120</v>
      </c>
      <c r="H48" s="10" t="s">
        <v>169</v>
      </c>
      <c r="I48" s="10" t="s">
        <v>51</v>
      </c>
      <c r="J48" s="10" t="s">
        <v>198</v>
      </c>
      <c r="K48" s="10" t="s">
        <v>198</v>
      </c>
      <c r="L48" s="10" t="s">
        <v>1104</v>
      </c>
      <c r="M48" s="10" t="s">
        <v>1121</v>
      </c>
      <c r="N48" s="10" t="s">
        <v>1106</v>
      </c>
      <c r="O48" s="10" t="s">
        <v>395</v>
      </c>
      <c r="P48" s="10" t="s">
        <v>169</v>
      </c>
      <c r="Q48" s="10" t="s">
        <v>175</v>
      </c>
      <c r="R48" s="10" t="s">
        <v>175</v>
      </c>
      <c r="S48" s="10" t="s">
        <v>169</v>
      </c>
      <c r="T48" s="10" t="s">
        <v>169</v>
      </c>
      <c r="U48" s="10" t="s">
        <v>175</v>
      </c>
      <c r="V48" s="10" t="s">
        <v>175</v>
      </c>
      <c r="W48" s="10" t="s">
        <v>175</v>
      </c>
      <c r="X48" s="10" t="s">
        <v>175</v>
      </c>
      <c r="Y48" s="10" t="s">
        <v>169</v>
      </c>
      <c r="Z48" s="10" t="s">
        <v>175</v>
      </c>
    </row>
    <row r="49" customFormat="false" ht="15" hidden="false" customHeight="true" outlineLevel="0" collapsed="false">
      <c r="A49" s="10" t="s">
        <v>430</v>
      </c>
      <c r="B49" s="10" t="s">
        <v>389</v>
      </c>
      <c r="C49" s="10" t="s">
        <v>390</v>
      </c>
      <c r="D49" s="10" t="s">
        <v>431</v>
      </c>
      <c r="E49" s="10" t="s">
        <v>432</v>
      </c>
      <c r="F49" s="10" t="s">
        <v>1119</v>
      </c>
      <c r="G49" s="10" t="s">
        <v>1120</v>
      </c>
      <c r="H49" s="10" t="s">
        <v>169</v>
      </c>
      <c r="I49" s="10" t="s">
        <v>51</v>
      </c>
      <c r="J49" s="10" t="s">
        <v>198</v>
      </c>
      <c r="K49" s="10" t="s">
        <v>198</v>
      </c>
      <c r="L49" s="10" t="s">
        <v>1104</v>
      </c>
      <c r="M49" s="10" t="s">
        <v>1121</v>
      </c>
      <c r="N49" s="10" t="s">
        <v>1106</v>
      </c>
      <c r="O49" s="10" t="s">
        <v>395</v>
      </c>
      <c r="P49" s="10" t="s">
        <v>169</v>
      </c>
      <c r="Q49" s="10" t="s">
        <v>175</v>
      </c>
      <c r="R49" s="10" t="s">
        <v>169</v>
      </c>
      <c r="S49" s="10" t="s">
        <v>169</v>
      </c>
      <c r="T49" s="10" t="s">
        <v>175</v>
      </c>
      <c r="U49" s="10" t="s">
        <v>175</v>
      </c>
      <c r="V49" s="10" t="s">
        <v>175</v>
      </c>
      <c r="W49" s="10" t="s">
        <v>175</v>
      </c>
      <c r="X49" s="10" t="s">
        <v>175</v>
      </c>
      <c r="Y49" s="10" t="s">
        <v>169</v>
      </c>
      <c r="Z49" s="10" t="s">
        <v>175</v>
      </c>
    </row>
    <row r="50" customFormat="false" ht="15" hidden="false" customHeight="true" outlineLevel="0" collapsed="false">
      <c r="A50" s="10" t="s">
        <v>436</v>
      </c>
      <c r="B50" s="10" t="s">
        <v>389</v>
      </c>
      <c r="C50" s="10" t="s">
        <v>390</v>
      </c>
      <c r="D50" s="10" t="s">
        <v>437</v>
      </c>
      <c r="E50" s="10" t="s">
        <v>409</v>
      </c>
      <c r="F50" s="10" t="s">
        <v>1119</v>
      </c>
      <c r="G50" s="10" t="s">
        <v>1120</v>
      </c>
      <c r="H50" s="10" t="s">
        <v>169</v>
      </c>
      <c r="I50" s="10" t="s">
        <v>51</v>
      </c>
      <c r="J50" s="10" t="s">
        <v>1108</v>
      </c>
      <c r="K50" s="10" t="s">
        <v>438</v>
      </c>
      <c r="L50" s="10" t="s">
        <v>1104</v>
      </c>
      <c r="M50" s="10" t="s">
        <v>1121</v>
      </c>
      <c r="N50" s="10" t="s">
        <v>1106</v>
      </c>
      <c r="O50" s="10" t="s">
        <v>395</v>
      </c>
      <c r="P50" s="10" t="s">
        <v>175</v>
      </c>
      <c r="Q50" s="10" t="s">
        <v>175</v>
      </c>
      <c r="R50" s="10" t="s">
        <v>175</v>
      </c>
      <c r="S50" s="10" t="s">
        <v>175</v>
      </c>
      <c r="T50" s="10" t="s">
        <v>169</v>
      </c>
      <c r="U50" s="10" t="s">
        <v>169</v>
      </c>
      <c r="V50" s="10" t="s">
        <v>175</v>
      </c>
      <c r="W50" s="10" t="s">
        <v>175</v>
      </c>
      <c r="X50" s="10" t="s">
        <v>175</v>
      </c>
      <c r="Y50" s="10" t="s">
        <v>169</v>
      </c>
      <c r="Z50" s="10" t="s">
        <v>175</v>
      </c>
    </row>
    <row r="51" customFormat="false" ht="15" hidden="false" customHeight="true" outlineLevel="0" collapsed="false">
      <c r="A51" s="10" t="s">
        <v>442</v>
      </c>
      <c r="B51" s="10" t="s">
        <v>389</v>
      </c>
      <c r="C51" s="10" t="s">
        <v>390</v>
      </c>
      <c r="D51" s="10" t="s">
        <v>443</v>
      </c>
      <c r="E51" s="10" t="s">
        <v>444</v>
      </c>
      <c r="F51" s="10" t="s">
        <v>1119</v>
      </c>
      <c r="G51" s="10" t="s">
        <v>1122</v>
      </c>
      <c r="H51" s="10" t="s">
        <v>169</v>
      </c>
      <c r="I51" s="10" t="s">
        <v>51</v>
      </c>
      <c r="J51" s="10" t="s">
        <v>1108</v>
      </c>
      <c r="K51" s="10" t="s">
        <v>445</v>
      </c>
      <c r="L51" s="10" t="s">
        <v>1104</v>
      </c>
      <c r="M51" s="10" t="s">
        <v>1121</v>
      </c>
      <c r="N51" s="10" t="s">
        <v>1106</v>
      </c>
      <c r="O51" s="10" t="s">
        <v>395</v>
      </c>
      <c r="P51" s="10" t="s">
        <v>175</v>
      </c>
      <c r="Q51" s="10" t="s">
        <v>175</v>
      </c>
      <c r="R51" s="10" t="s">
        <v>175</v>
      </c>
      <c r="S51" s="10" t="s">
        <v>175</v>
      </c>
      <c r="T51" s="10" t="s">
        <v>175</v>
      </c>
      <c r="U51" s="10" t="s">
        <v>169</v>
      </c>
      <c r="V51" s="10" t="s">
        <v>175</v>
      </c>
      <c r="W51" s="10" t="s">
        <v>175</v>
      </c>
      <c r="X51" s="10" t="s">
        <v>175</v>
      </c>
      <c r="Y51" s="10" t="s">
        <v>169</v>
      </c>
      <c r="Z51" s="10" t="s">
        <v>175</v>
      </c>
    </row>
    <row r="52" customFormat="false" ht="15" hidden="false" customHeight="true" outlineLevel="0" collapsed="false">
      <c r="A52" s="10" t="s">
        <v>449</v>
      </c>
      <c r="B52" s="10" t="s">
        <v>389</v>
      </c>
      <c r="C52" s="10" t="s">
        <v>390</v>
      </c>
      <c r="D52" s="10" t="s">
        <v>450</v>
      </c>
      <c r="E52" s="10" t="s">
        <v>244</v>
      </c>
      <c r="F52" s="10" t="s">
        <v>1119</v>
      </c>
      <c r="G52" s="10" t="s">
        <v>1124</v>
      </c>
      <c r="H52" s="10" t="s">
        <v>169</v>
      </c>
      <c r="I52" s="10" t="s">
        <v>51</v>
      </c>
      <c r="J52" s="10" t="s">
        <v>198</v>
      </c>
      <c r="K52" s="10" t="s">
        <v>198</v>
      </c>
      <c r="L52" s="10" t="s">
        <v>1104</v>
      </c>
      <c r="M52" s="10" t="s">
        <v>1121</v>
      </c>
      <c r="N52" s="10" t="s">
        <v>1106</v>
      </c>
      <c r="O52" s="10" t="s">
        <v>395</v>
      </c>
      <c r="P52" s="10" t="s">
        <v>175</v>
      </c>
      <c r="Q52" s="10" t="s">
        <v>175</v>
      </c>
      <c r="R52" s="10" t="s">
        <v>175</v>
      </c>
      <c r="S52" s="10" t="s">
        <v>175</v>
      </c>
      <c r="T52" s="10" t="s">
        <v>169</v>
      </c>
      <c r="U52" s="10" t="s">
        <v>175</v>
      </c>
      <c r="V52" s="10" t="s">
        <v>175</v>
      </c>
      <c r="W52" s="10" t="s">
        <v>169</v>
      </c>
      <c r="X52" s="10" t="s">
        <v>169</v>
      </c>
      <c r="Y52" s="10" t="s">
        <v>175</v>
      </c>
      <c r="Z52" s="10" t="s">
        <v>175</v>
      </c>
    </row>
    <row r="53" customFormat="false" ht="15" hidden="false" customHeight="true" outlineLevel="0" collapsed="false">
      <c r="A53" s="10" t="s">
        <v>453</v>
      </c>
      <c r="B53" s="10" t="s">
        <v>389</v>
      </c>
      <c r="C53" s="10" t="s">
        <v>390</v>
      </c>
      <c r="D53" s="10" t="s">
        <v>450</v>
      </c>
      <c r="E53" s="10" t="s">
        <v>244</v>
      </c>
      <c r="F53" s="10" t="s">
        <v>1119</v>
      </c>
      <c r="G53" s="10" t="s">
        <v>1125</v>
      </c>
      <c r="H53" s="10" t="s">
        <v>169</v>
      </c>
      <c r="I53" s="10" t="s">
        <v>51</v>
      </c>
      <c r="J53" s="10" t="s">
        <v>198</v>
      </c>
      <c r="K53" s="10" t="s">
        <v>198</v>
      </c>
      <c r="L53" s="10" t="s">
        <v>1104</v>
      </c>
      <c r="M53" s="10" t="s">
        <v>1126</v>
      </c>
      <c r="N53" s="10" t="s">
        <v>1106</v>
      </c>
      <c r="O53" s="10" t="s">
        <v>395</v>
      </c>
      <c r="P53" s="10" t="s">
        <v>175</v>
      </c>
      <c r="Q53" s="10" t="s">
        <v>175</v>
      </c>
      <c r="R53" s="10" t="s">
        <v>175</v>
      </c>
      <c r="S53" s="10" t="s">
        <v>175</v>
      </c>
      <c r="T53" s="10" t="s">
        <v>169</v>
      </c>
      <c r="U53" s="10" t="s">
        <v>175</v>
      </c>
      <c r="V53" s="10" t="s">
        <v>175</v>
      </c>
      <c r="W53" s="10" t="s">
        <v>169</v>
      </c>
      <c r="X53" s="10" t="s">
        <v>169</v>
      </c>
      <c r="Y53" s="10" t="s">
        <v>175</v>
      </c>
      <c r="Z53" s="10" t="s">
        <v>175</v>
      </c>
    </row>
    <row r="54" customFormat="false" ht="15" hidden="false" customHeight="true" outlineLevel="0" collapsed="false">
      <c r="A54" s="10" t="s">
        <v>457</v>
      </c>
      <c r="B54" s="10" t="s">
        <v>389</v>
      </c>
      <c r="C54" s="10" t="s">
        <v>390</v>
      </c>
      <c r="D54" s="10" t="s">
        <v>458</v>
      </c>
      <c r="E54" s="10" t="s">
        <v>161</v>
      </c>
      <c r="F54" s="10" t="s">
        <v>1119</v>
      </c>
      <c r="G54" s="10" t="s">
        <v>1122</v>
      </c>
      <c r="H54" s="10" t="s">
        <v>172</v>
      </c>
      <c r="I54" s="10" t="s">
        <v>51</v>
      </c>
      <c r="J54" s="10" t="s">
        <v>198</v>
      </c>
      <c r="K54" s="10" t="s">
        <v>198</v>
      </c>
      <c r="L54" s="10" t="s">
        <v>1104</v>
      </c>
      <c r="M54" s="10" t="s">
        <v>1121</v>
      </c>
      <c r="N54" s="10" t="s">
        <v>1123</v>
      </c>
      <c r="O54" s="10" t="s">
        <v>395</v>
      </c>
      <c r="P54" s="10" t="s">
        <v>175</v>
      </c>
      <c r="Q54" s="10" t="s">
        <v>175</v>
      </c>
      <c r="R54" s="10" t="s">
        <v>175</v>
      </c>
      <c r="S54" s="10" t="s">
        <v>175</v>
      </c>
      <c r="T54" s="10" t="s">
        <v>175</v>
      </c>
      <c r="U54" s="10" t="s">
        <v>175</v>
      </c>
      <c r="V54" s="10" t="s">
        <v>175</v>
      </c>
      <c r="W54" s="10" t="s">
        <v>175</v>
      </c>
      <c r="X54" s="10" t="s">
        <v>175</v>
      </c>
      <c r="Y54" s="10" t="s">
        <v>175</v>
      </c>
      <c r="Z54" s="10" t="s">
        <v>172</v>
      </c>
    </row>
    <row r="55" customFormat="false" ht="15" hidden="false" customHeight="true" outlineLevel="0" collapsed="false">
      <c r="A55" s="10" t="s">
        <v>461</v>
      </c>
      <c r="B55" s="10" t="s">
        <v>389</v>
      </c>
      <c r="C55" s="10" t="s">
        <v>390</v>
      </c>
      <c r="D55" s="10" t="s">
        <v>462</v>
      </c>
      <c r="E55" s="10" t="s">
        <v>244</v>
      </c>
      <c r="F55" s="10" t="s">
        <v>1119</v>
      </c>
      <c r="G55" s="10" t="s">
        <v>1124</v>
      </c>
      <c r="H55" s="10" t="s">
        <v>166</v>
      </c>
      <c r="I55" s="10" t="s">
        <v>51</v>
      </c>
      <c r="J55" s="10" t="s">
        <v>198</v>
      </c>
      <c r="K55" s="10" t="s">
        <v>198</v>
      </c>
      <c r="L55" s="10" t="s">
        <v>1104</v>
      </c>
      <c r="M55" s="10" t="s">
        <v>1121</v>
      </c>
      <c r="N55" s="10" t="s">
        <v>1109</v>
      </c>
      <c r="O55" s="10" t="s">
        <v>395</v>
      </c>
      <c r="P55" s="10" t="s">
        <v>175</v>
      </c>
      <c r="Q55" s="10" t="s">
        <v>175</v>
      </c>
      <c r="R55" s="10" t="s">
        <v>175</v>
      </c>
      <c r="S55" s="10" t="s">
        <v>175</v>
      </c>
      <c r="T55" s="10" t="s">
        <v>166</v>
      </c>
      <c r="U55" s="10" t="s">
        <v>175</v>
      </c>
      <c r="V55" s="10" t="s">
        <v>175</v>
      </c>
      <c r="W55" s="10" t="s">
        <v>166</v>
      </c>
      <c r="X55" s="10" t="s">
        <v>166</v>
      </c>
      <c r="Y55" s="10" t="s">
        <v>175</v>
      </c>
      <c r="Z55" s="10" t="s">
        <v>175</v>
      </c>
    </row>
    <row r="56" customFormat="false" ht="15" hidden="false" customHeight="true" outlineLevel="0" collapsed="false">
      <c r="A56" s="10" t="s">
        <v>465</v>
      </c>
      <c r="B56" s="10" t="s">
        <v>389</v>
      </c>
      <c r="C56" s="10" t="s">
        <v>390</v>
      </c>
      <c r="D56" s="10" t="s">
        <v>466</v>
      </c>
      <c r="E56" s="10" t="s">
        <v>158</v>
      </c>
      <c r="F56" s="10" t="s">
        <v>1119</v>
      </c>
      <c r="G56" s="10" t="s">
        <v>1122</v>
      </c>
      <c r="H56" s="10" t="s">
        <v>169</v>
      </c>
      <c r="I56" s="10" t="s">
        <v>51</v>
      </c>
      <c r="J56" s="10" t="s">
        <v>1108</v>
      </c>
      <c r="K56" s="10" t="s">
        <v>467</v>
      </c>
      <c r="L56" s="10" t="s">
        <v>1104</v>
      </c>
      <c r="M56" s="10" t="s">
        <v>1121</v>
      </c>
      <c r="N56" s="10" t="s">
        <v>1106</v>
      </c>
      <c r="O56" s="10" t="s">
        <v>395</v>
      </c>
      <c r="P56" s="10" t="s">
        <v>175</v>
      </c>
      <c r="Q56" s="10" t="s">
        <v>175</v>
      </c>
      <c r="R56" s="10" t="s">
        <v>175</v>
      </c>
      <c r="S56" s="10" t="s">
        <v>175</v>
      </c>
      <c r="T56" s="10" t="s">
        <v>175</v>
      </c>
      <c r="U56" s="10" t="s">
        <v>175</v>
      </c>
      <c r="V56" s="10" t="s">
        <v>175</v>
      </c>
      <c r="W56" s="10" t="s">
        <v>175</v>
      </c>
      <c r="X56" s="10" t="s">
        <v>175</v>
      </c>
      <c r="Y56" s="10" t="s">
        <v>169</v>
      </c>
      <c r="Z56" s="10" t="s">
        <v>175</v>
      </c>
    </row>
    <row r="57" customFormat="false" ht="15" hidden="false" customHeight="true" outlineLevel="0" collapsed="false">
      <c r="A57" s="10" t="s">
        <v>470</v>
      </c>
      <c r="B57" s="10" t="s">
        <v>389</v>
      </c>
      <c r="C57" s="10" t="s">
        <v>390</v>
      </c>
      <c r="D57" s="10" t="s">
        <v>471</v>
      </c>
      <c r="E57" s="10" t="s">
        <v>161</v>
      </c>
      <c r="F57" s="10" t="s">
        <v>1119</v>
      </c>
      <c r="G57" s="10" t="s">
        <v>1122</v>
      </c>
      <c r="H57" s="10" t="s">
        <v>172</v>
      </c>
      <c r="I57" s="10" t="s">
        <v>51</v>
      </c>
      <c r="J57" s="10" t="s">
        <v>198</v>
      </c>
      <c r="K57" s="10" t="s">
        <v>198</v>
      </c>
      <c r="L57" s="10" t="s">
        <v>1104</v>
      </c>
      <c r="M57" s="10" t="s">
        <v>1121</v>
      </c>
      <c r="N57" s="10" t="s">
        <v>1123</v>
      </c>
      <c r="O57" s="10" t="s">
        <v>395</v>
      </c>
      <c r="P57" s="10" t="s">
        <v>175</v>
      </c>
      <c r="Q57" s="10" t="s">
        <v>175</v>
      </c>
      <c r="R57" s="10" t="s">
        <v>175</v>
      </c>
      <c r="S57" s="10" t="s">
        <v>175</v>
      </c>
      <c r="T57" s="10" t="s">
        <v>175</v>
      </c>
      <c r="U57" s="10" t="s">
        <v>175</v>
      </c>
      <c r="V57" s="10" t="s">
        <v>175</v>
      </c>
      <c r="W57" s="10" t="s">
        <v>175</v>
      </c>
      <c r="X57" s="10" t="s">
        <v>175</v>
      </c>
      <c r="Y57" s="10" t="s">
        <v>175</v>
      </c>
      <c r="Z57" s="10" t="s">
        <v>172</v>
      </c>
    </row>
    <row r="58" customFormat="false" ht="15" hidden="false" customHeight="true" outlineLevel="0" collapsed="false">
      <c r="A58" s="10" t="s">
        <v>473</v>
      </c>
      <c r="B58" s="10" t="s">
        <v>389</v>
      </c>
      <c r="C58" s="10" t="s">
        <v>390</v>
      </c>
      <c r="D58" s="10" t="s">
        <v>474</v>
      </c>
      <c r="E58" s="10" t="s">
        <v>475</v>
      </c>
      <c r="F58" s="10" t="s">
        <v>1119</v>
      </c>
      <c r="G58" s="10" t="s">
        <v>1120</v>
      </c>
      <c r="H58" s="10" t="s">
        <v>169</v>
      </c>
      <c r="I58" s="10" t="s">
        <v>51</v>
      </c>
      <c r="J58" s="10" t="s">
        <v>198</v>
      </c>
      <c r="K58" s="10" t="s">
        <v>198</v>
      </c>
      <c r="L58" s="10" t="s">
        <v>1104</v>
      </c>
      <c r="M58" s="10" t="s">
        <v>1121</v>
      </c>
      <c r="N58" s="10" t="s">
        <v>1106</v>
      </c>
      <c r="O58" s="10" t="s">
        <v>395</v>
      </c>
      <c r="P58" s="10" t="s">
        <v>175</v>
      </c>
      <c r="Q58" s="10" t="s">
        <v>175</v>
      </c>
      <c r="R58" s="10" t="s">
        <v>175</v>
      </c>
      <c r="S58" s="10" t="s">
        <v>169</v>
      </c>
      <c r="T58" s="10" t="s">
        <v>169</v>
      </c>
      <c r="U58" s="10" t="s">
        <v>169</v>
      </c>
      <c r="V58" s="10" t="s">
        <v>175</v>
      </c>
      <c r="W58" s="10" t="s">
        <v>175</v>
      </c>
      <c r="X58" s="10" t="s">
        <v>175</v>
      </c>
      <c r="Y58" s="10" t="s">
        <v>175</v>
      </c>
      <c r="Z58" s="10" t="s">
        <v>175</v>
      </c>
    </row>
    <row r="59" customFormat="false" ht="15" hidden="false" customHeight="true" outlineLevel="0" collapsed="false">
      <c r="A59" s="10" t="s">
        <v>479</v>
      </c>
      <c r="B59" s="10" t="s">
        <v>389</v>
      </c>
      <c r="C59" s="10" t="s">
        <v>390</v>
      </c>
      <c r="D59" s="10" t="s">
        <v>480</v>
      </c>
      <c r="E59" s="10" t="s">
        <v>444</v>
      </c>
      <c r="F59" s="10" t="s">
        <v>1119</v>
      </c>
      <c r="G59" s="10" t="s">
        <v>1122</v>
      </c>
      <c r="H59" s="10" t="s">
        <v>169</v>
      </c>
      <c r="I59" s="10" t="s">
        <v>51</v>
      </c>
      <c r="J59" s="10" t="s">
        <v>198</v>
      </c>
      <c r="K59" s="10" t="s">
        <v>198</v>
      </c>
      <c r="L59" s="10" t="s">
        <v>1104</v>
      </c>
      <c r="M59" s="10" t="s">
        <v>1121</v>
      </c>
      <c r="N59" s="10" t="s">
        <v>1106</v>
      </c>
      <c r="O59" s="10" t="s">
        <v>395</v>
      </c>
      <c r="P59" s="10" t="s">
        <v>175</v>
      </c>
      <c r="Q59" s="10" t="s">
        <v>175</v>
      </c>
      <c r="R59" s="10" t="s">
        <v>175</v>
      </c>
      <c r="S59" s="10" t="s">
        <v>175</v>
      </c>
      <c r="T59" s="10" t="s">
        <v>175</v>
      </c>
      <c r="U59" s="10" t="s">
        <v>169</v>
      </c>
      <c r="V59" s="10" t="s">
        <v>175</v>
      </c>
      <c r="W59" s="10" t="s">
        <v>175</v>
      </c>
      <c r="X59" s="10" t="s">
        <v>175</v>
      </c>
      <c r="Y59" s="10" t="s">
        <v>169</v>
      </c>
      <c r="Z59" s="10" t="s">
        <v>175</v>
      </c>
    </row>
    <row r="60" customFormat="false" ht="15" hidden="false" customHeight="true" outlineLevel="0" collapsed="false">
      <c r="A60" s="10" t="s">
        <v>483</v>
      </c>
      <c r="B60" s="10" t="s">
        <v>389</v>
      </c>
      <c r="C60" s="10" t="s">
        <v>390</v>
      </c>
      <c r="D60" s="10" t="s">
        <v>484</v>
      </c>
      <c r="E60" s="10" t="s">
        <v>444</v>
      </c>
      <c r="F60" s="10" t="s">
        <v>1119</v>
      </c>
      <c r="G60" s="10" t="s">
        <v>1122</v>
      </c>
      <c r="H60" s="10" t="s">
        <v>169</v>
      </c>
      <c r="I60" s="10" t="s">
        <v>62</v>
      </c>
      <c r="J60" s="10" t="s">
        <v>198</v>
      </c>
      <c r="K60" s="10" t="s">
        <v>198</v>
      </c>
      <c r="L60" s="10" t="s">
        <v>1104</v>
      </c>
      <c r="M60" s="10" t="s">
        <v>1121</v>
      </c>
      <c r="N60" s="10" t="s">
        <v>1106</v>
      </c>
      <c r="O60" s="10" t="s">
        <v>395</v>
      </c>
      <c r="P60" s="10" t="s">
        <v>175</v>
      </c>
      <c r="Q60" s="10" t="s">
        <v>175</v>
      </c>
      <c r="R60" s="10" t="s">
        <v>175</v>
      </c>
      <c r="S60" s="10" t="s">
        <v>175</v>
      </c>
      <c r="T60" s="10" t="s">
        <v>175</v>
      </c>
      <c r="U60" s="10" t="s">
        <v>169</v>
      </c>
      <c r="V60" s="10" t="s">
        <v>175</v>
      </c>
      <c r="W60" s="10" t="s">
        <v>175</v>
      </c>
      <c r="X60" s="10" t="s">
        <v>175</v>
      </c>
      <c r="Y60" s="10" t="s">
        <v>169</v>
      </c>
      <c r="Z60" s="10" t="s">
        <v>175</v>
      </c>
    </row>
    <row r="61" customFormat="false" ht="15" hidden="false" customHeight="true" outlineLevel="0" collapsed="false">
      <c r="A61" s="10" t="s">
        <v>487</v>
      </c>
      <c r="B61" s="10" t="s">
        <v>389</v>
      </c>
      <c r="C61" s="10" t="s">
        <v>390</v>
      </c>
      <c r="D61" s="10" t="s">
        <v>488</v>
      </c>
      <c r="E61" s="10" t="s">
        <v>444</v>
      </c>
      <c r="F61" s="10" t="s">
        <v>1119</v>
      </c>
      <c r="G61" s="10" t="s">
        <v>1122</v>
      </c>
      <c r="H61" s="10" t="s">
        <v>169</v>
      </c>
      <c r="I61" s="10" t="s">
        <v>51</v>
      </c>
      <c r="J61" s="10" t="s">
        <v>198</v>
      </c>
      <c r="K61" s="10" t="s">
        <v>198</v>
      </c>
      <c r="L61" s="10" t="s">
        <v>1104</v>
      </c>
      <c r="M61" s="10" t="s">
        <v>1121</v>
      </c>
      <c r="N61" s="10" t="s">
        <v>1106</v>
      </c>
      <c r="O61" s="10" t="s">
        <v>395</v>
      </c>
      <c r="P61" s="10" t="s">
        <v>175</v>
      </c>
      <c r="Q61" s="10" t="s">
        <v>175</v>
      </c>
      <c r="R61" s="10" t="s">
        <v>175</v>
      </c>
      <c r="S61" s="10" t="s">
        <v>175</v>
      </c>
      <c r="T61" s="10" t="s">
        <v>175</v>
      </c>
      <c r="U61" s="10" t="s">
        <v>169</v>
      </c>
      <c r="V61" s="10" t="s">
        <v>175</v>
      </c>
      <c r="W61" s="10" t="s">
        <v>175</v>
      </c>
      <c r="X61" s="10" t="s">
        <v>175</v>
      </c>
      <c r="Y61" s="10" t="s">
        <v>169</v>
      </c>
      <c r="Z61" s="10" t="s">
        <v>175</v>
      </c>
    </row>
    <row r="62" customFormat="false" ht="15" hidden="false" customHeight="true" outlineLevel="0" collapsed="false">
      <c r="A62" s="10" t="s">
        <v>491</v>
      </c>
      <c r="B62" s="10" t="s">
        <v>389</v>
      </c>
      <c r="C62" s="10" t="s">
        <v>390</v>
      </c>
      <c r="D62" s="10" t="s">
        <v>492</v>
      </c>
      <c r="E62" s="10" t="s">
        <v>493</v>
      </c>
      <c r="F62" s="10" t="s">
        <v>1119</v>
      </c>
      <c r="G62" s="10" t="s">
        <v>1125</v>
      </c>
      <c r="H62" s="10" t="s">
        <v>169</v>
      </c>
      <c r="I62" s="10" t="s">
        <v>51</v>
      </c>
      <c r="J62" s="10" t="s">
        <v>1108</v>
      </c>
      <c r="K62" s="10" t="s">
        <v>494</v>
      </c>
      <c r="L62" s="10" t="s">
        <v>1104</v>
      </c>
      <c r="M62" s="10" t="s">
        <v>1126</v>
      </c>
      <c r="N62" s="10" t="s">
        <v>1106</v>
      </c>
      <c r="O62" s="10" t="s">
        <v>395</v>
      </c>
      <c r="P62" s="10" t="s">
        <v>175</v>
      </c>
      <c r="Q62" s="10" t="s">
        <v>169</v>
      </c>
      <c r="R62" s="10" t="s">
        <v>175</v>
      </c>
      <c r="S62" s="10" t="s">
        <v>175</v>
      </c>
      <c r="T62" s="10" t="s">
        <v>169</v>
      </c>
      <c r="U62" s="10" t="s">
        <v>175</v>
      </c>
      <c r="V62" s="10" t="s">
        <v>175</v>
      </c>
      <c r="W62" s="10" t="s">
        <v>169</v>
      </c>
      <c r="X62" s="10" t="s">
        <v>169</v>
      </c>
      <c r="Y62" s="10" t="s">
        <v>175</v>
      </c>
      <c r="Z62" s="10" t="s">
        <v>175</v>
      </c>
    </row>
    <row r="63" customFormat="false" ht="15" hidden="false" customHeight="true" outlineLevel="0" collapsed="false">
      <c r="A63" s="10" t="s">
        <v>498</v>
      </c>
      <c r="B63" s="10" t="s">
        <v>389</v>
      </c>
      <c r="C63" s="10" t="s">
        <v>390</v>
      </c>
      <c r="D63" s="10" t="s">
        <v>499</v>
      </c>
      <c r="E63" s="10" t="s">
        <v>139</v>
      </c>
      <c r="F63" s="10" t="s">
        <v>1119</v>
      </c>
      <c r="G63" s="10" t="s">
        <v>1122</v>
      </c>
      <c r="H63" s="10" t="s">
        <v>169</v>
      </c>
      <c r="I63" s="10" t="s">
        <v>51</v>
      </c>
      <c r="J63" s="10" t="s">
        <v>198</v>
      </c>
      <c r="K63" s="10" t="s">
        <v>198</v>
      </c>
      <c r="L63" s="10" t="s">
        <v>1104</v>
      </c>
      <c r="M63" s="10" t="s">
        <v>1121</v>
      </c>
      <c r="N63" s="10" t="s">
        <v>1106</v>
      </c>
      <c r="O63" s="10" t="s">
        <v>395</v>
      </c>
      <c r="P63" s="10" t="s">
        <v>169</v>
      </c>
      <c r="Q63" s="10" t="s">
        <v>175</v>
      </c>
      <c r="R63" s="10" t="s">
        <v>175</v>
      </c>
      <c r="S63" s="10" t="s">
        <v>175</v>
      </c>
      <c r="T63" s="10" t="s">
        <v>175</v>
      </c>
      <c r="U63" s="10" t="s">
        <v>175</v>
      </c>
      <c r="V63" s="10" t="s">
        <v>175</v>
      </c>
      <c r="W63" s="10" t="s">
        <v>175</v>
      </c>
      <c r="X63" s="10" t="s">
        <v>175</v>
      </c>
      <c r="Y63" s="10" t="s">
        <v>175</v>
      </c>
      <c r="Z63" s="10" t="s">
        <v>175</v>
      </c>
    </row>
    <row r="64" customFormat="false" ht="15" hidden="false" customHeight="true" outlineLevel="0" collapsed="false">
      <c r="A64" s="10" t="s">
        <v>502</v>
      </c>
      <c r="B64" s="10" t="s">
        <v>389</v>
      </c>
      <c r="C64" s="10" t="s">
        <v>390</v>
      </c>
      <c r="D64" s="10" t="s">
        <v>503</v>
      </c>
      <c r="E64" s="10" t="s">
        <v>504</v>
      </c>
      <c r="F64" s="10" t="s">
        <v>1119</v>
      </c>
      <c r="G64" s="10" t="s">
        <v>1124</v>
      </c>
      <c r="H64" s="10" t="s">
        <v>169</v>
      </c>
      <c r="I64" s="10" t="s">
        <v>51</v>
      </c>
      <c r="J64" s="10" t="s">
        <v>198</v>
      </c>
      <c r="K64" s="10" t="s">
        <v>198</v>
      </c>
      <c r="L64" s="10" t="s">
        <v>1104</v>
      </c>
      <c r="M64" s="10" t="s">
        <v>1121</v>
      </c>
      <c r="N64" s="10" t="s">
        <v>1106</v>
      </c>
      <c r="O64" s="10" t="s">
        <v>395</v>
      </c>
      <c r="P64" s="10" t="s">
        <v>175</v>
      </c>
      <c r="Q64" s="10" t="s">
        <v>175</v>
      </c>
      <c r="R64" s="10" t="s">
        <v>175</v>
      </c>
      <c r="S64" s="10" t="s">
        <v>175</v>
      </c>
      <c r="T64" s="10" t="s">
        <v>175</v>
      </c>
      <c r="U64" s="10" t="s">
        <v>169</v>
      </c>
      <c r="V64" s="10" t="s">
        <v>175</v>
      </c>
      <c r="W64" s="10" t="s">
        <v>175</v>
      </c>
      <c r="X64" s="10" t="s">
        <v>169</v>
      </c>
      <c r="Y64" s="10" t="s">
        <v>169</v>
      </c>
      <c r="Z64" s="10" t="s">
        <v>175</v>
      </c>
    </row>
    <row r="65" customFormat="false" ht="15" hidden="false" customHeight="true" outlineLevel="0" collapsed="false">
      <c r="A65" s="10" t="s">
        <v>508</v>
      </c>
      <c r="B65" s="10" t="s">
        <v>389</v>
      </c>
      <c r="C65" s="10" t="s">
        <v>390</v>
      </c>
      <c r="D65" s="10" t="s">
        <v>509</v>
      </c>
      <c r="E65" s="10" t="s">
        <v>156</v>
      </c>
      <c r="F65" s="10" t="s">
        <v>1119</v>
      </c>
      <c r="G65" s="10" t="s">
        <v>1124</v>
      </c>
      <c r="H65" s="10" t="s">
        <v>169</v>
      </c>
      <c r="I65" s="10" t="s">
        <v>51</v>
      </c>
      <c r="J65" s="10" t="s">
        <v>198</v>
      </c>
      <c r="K65" s="10" t="s">
        <v>198</v>
      </c>
      <c r="L65" s="10" t="s">
        <v>1104</v>
      </c>
      <c r="M65" s="10" t="s">
        <v>1121</v>
      </c>
      <c r="N65" s="10" t="s">
        <v>1106</v>
      </c>
      <c r="O65" s="10" t="s">
        <v>395</v>
      </c>
      <c r="P65" s="10" t="s">
        <v>175</v>
      </c>
      <c r="Q65" s="10" t="s">
        <v>175</v>
      </c>
      <c r="R65" s="10" t="s">
        <v>175</v>
      </c>
      <c r="S65" s="10" t="s">
        <v>175</v>
      </c>
      <c r="T65" s="10" t="s">
        <v>175</v>
      </c>
      <c r="U65" s="10" t="s">
        <v>175</v>
      </c>
      <c r="V65" s="10" t="s">
        <v>175</v>
      </c>
      <c r="W65" s="10" t="s">
        <v>175</v>
      </c>
      <c r="X65" s="10" t="s">
        <v>169</v>
      </c>
      <c r="Y65" s="10" t="s">
        <v>175</v>
      </c>
      <c r="Z65" s="10" t="s">
        <v>175</v>
      </c>
    </row>
    <row r="66" customFormat="false" ht="15" hidden="false" customHeight="true" outlineLevel="0" collapsed="false">
      <c r="A66" s="10" t="s">
        <v>512</v>
      </c>
      <c r="B66" s="10" t="s">
        <v>389</v>
      </c>
      <c r="C66" s="10" t="s">
        <v>390</v>
      </c>
      <c r="D66" s="10" t="s">
        <v>513</v>
      </c>
      <c r="E66" s="10" t="s">
        <v>161</v>
      </c>
      <c r="F66" s="10" t="s">
        <v>1119</v>
      </c>
      <c r="G66" s="10" t="s">
        <v>1127</v>
      </c>
      <c r="H66" s="10" t="s">
        <v>172</v>
      </c>
      <c r="I66" s="10" t="s">
        <v>51</v>
      </c>
      <c r="J66" s="10" t="s">
        <v>1111</v>
      </c>
      <c r="K66" s="10" t="s">
        <v>514</v>
      </c>
      <c r="L66" s="10" t="s">
        <v>1104</v>
      </c>
      <c r="M66" s="10" t="s">
        <v>1121</v>
      </c>
      <c r="N66" s="10" t="s">
        <v>1123</v>
      </c>
      <c r="O66" s="10" t="s">
        <v>395</v>
      </c>
      <c r="P66" s="10" t="s">
        <v>175</v>
      </c>
      <c r="Q66" s="10" t="s">
        <v>175</v>
      </c>
      <c r="R66" s="10" t="s">
        <v>175</v>
      </c>
      <c r="S66" s="10" t="s">
        <v>175</v>
      </c>
      <c r="T66" s="10" t="s">
        <v>175</v>
      </c>
      <c r="U66" s="10" t="s">
        <v>175</v>
      </c>
      <c r="V66" s="10" t="s">
        <v>175</v>
      </c>
      <c r="W66" s="10" t="s">
        <v>175</v>
      </c>
      <c r="X66" s="10" t="s">
        <v>175</v>
      </c>
      <c r="Y66" s="10" t="s">
        <v>175</v>
      </c>
      <c r="Z66" s="10" t="s">
        <v>172</v>
      </c>
    </row>
    <row r="67" customFormat="false" ht="15" hidden="false" customHeight="true" outlineLevel="0" collapsed="false">
      <c r="A67" s="10" t="s">
        <v>517</v>
      </c>
      <c r="B67" s="10" t="s">
        <v>389</v>
      </c>
      <c r="C67" s="10" t="s">
        <v>390</v>
      </c>
      <c r="D67" s="10" t="s">
        <v>518</v>
      </c>
      <c r="E67" s="10" t="s">
        <v>519</v>
      </c>
      <c r="F67" s="10" t="s">
        <v>1119</v>
      </c>
      <c r="G67" s="10" t="s">
        <v>1127</v>
      </c>
      <c r="H67" s="10" t="s">
        <v>166</v>
      </c>
      <c r="I67" s="10" t="s">
        <v>51</v>
      </c>
      <c r="J67" s="10" t="s">
        <v>1111</v>
      </c>
      <c r="K67" s="10" t="s">
        <v>514</v>
      </c>
      <c r="L67" s="10" t="s">
        <v>1104</v>
      </c>
      <c r="M67" s="10" t="s">
        <v>1126</v>
      </c>
      <c r="N67" s="10" t="s">
        <v>1109</v>
      </c>
      <c r="O67" s="10" t="s">
        <v>395</v>
      </c>
      <c r="P67" s="10" t="s">
        <v>175</v>
      </c>
      <c r="Q67" s="10" t="s">
        <v>175</v>
      </c>
      <c r="R67" s="10" t="s">
        <v>175</v>
      </c>
      <c r="S67" s="10" t="s">
        <v>175</v>
      </c>
      <c r="T67" s="10" t="s">
        <v>166</v>
      </c>
      <c r="U67" s="10" t="s">
        <v>166</v>
      </c>
      <c r="V67" s="10" t="s">
        <v>175</v>
      </c>
      <c r="W67" s="10" t="s">
        <v>175</v>
      </c>
      <c r="X67" s="10" t="s">
        <v>166</v>
      </c>
      <c r="Y67" s="10" t="s">
        <v>175</v>
      </c>
      <c r="Z67" s="10" t="s">
        <v>175</v>
      </c>
    </row>
    <row r="68" customFormat="false" ht="15" hidden="false" customHeight="true" outlineLevel="0" collapsed="false">
      <c r="A68" s="10" t="s">
        <v>523</v>
      </c>
      <c r="B68" s="10" t="s">
        <v>389</v>
      </c>
      <c r="C68" s="10" t="s">
        <v>390</v>
      </c>
      <c r="D68" s="10" t="s">
        <v>524</v>
      </c>
      <c r="E68" s="10" t="s">
        <v>525</v>
      </c>
      <c r="F68" s="10" t="s">
        <v>1119</v>
      </c>
      <c r="G68" s="10" t="s">
        <v>1127</v>
      </c>
      <c r="H68" s="10" t="s">
        <v>166</v>
      </c>
      <c r="I68" s="10" t="s">
        <v>51</v>
      </c>
      <c r="J68" s="10" t="s">
        <v>1111</v>
      </c>
      <c r="K68" s="10" t="s">
        <v>514</v>
      </c>
      <c r="L68" s="10" t="s">
        <v>1104</v>
      </c>
      <c r="M68" s="10" t="s">
        <v>1121</v>
      </c>
      <c r="N68" s="10" t="s">
        <v>1109</v>
      </c>
      <c r="O68" s="10" t="s">
        <v>395</v>
      </c>
      <c r="P68" s="10" t="s">
        <v>175</v>
      </c>
      <c r="Q68" s="10" t="s">
        <v>175</v>
      </c>
      <c r="R68" s="10" t="s">
        <v>175</v>
      </c>
      <c r="S68" s="10" t="s">
        <v>175</v>
      </c>
      <c r="T68" s="10" t="s">
        <v>166</v>
      </c>
      <c r="U68" s="10" t="s">
        <v>175</v>
      </c>
      <c r="V68" s="10" t="s">
        <v>175</v>
      </c>
      <c r="W68" s="10" t="s">
        <v>166</v>
      </c>
      <c r="X68" s="10" t="s">
        <v>166</v>
      </c>
      <c r="Y68" s="10" t="s">
        <v>166</v>
      </c>
      <c r="Z68" s="10" t="s">
        <v>175</v>
      </c>
    </row>
    <row r="69" customFormat="false" ht="15" hidden="false" customHeight="true" outlineLevel="0" collapsed="false">
      <c r="A69" s="10" t="s">
        <v>529</v>
      </c>
      <c r="B69" s="10" t="s">
        <v>530</v>
      </c>
      <c r="C69" s="10" t="s">
        <v>531</v>
      </c>
      <c r="D69" s="10" t="s">
        <v>532</v>
      </c>
      <c r="E69" s="10" t="s">
        <v>161</v>
      </c>
      <c r="F69" s="10" t="s">
        <v>1102</v>
      </c>
      <c r="G69" s="10" t="s">
        <v>1128</v>
      </c>
      <c r="H69" s="10" t="s">
        <v>172</v>
      </c>
      <c r="I69" s="10" t="s">
        <v>51</v>
      </c>
      <c r="J69" s="10" t="s">
        <v>198</v>
      </c>
      <c r="K69" s="10" t="s">
        <v>198</v>
      </c>
      <c r="L69" s="10" t="s">
        <v>1104</v>
      </c>
      <c r="M69" s="10" t="s">
        <v>1129</v>
      </c>
      <c r="N69" s="10" t="s">
        <v>1123</v>
      </c>
      <c r="O69" s="10" t="s">
        <v>535</v>
      </c>
      <c r="P69" s="10" t="s">
        <v>175</v>
      </c>
      <c r="Q69" s="10" t="s">
        <v>175</v>
      </c>
      <c r="R69" s="10" t="s">
        <v>175</v>
      </c>
      <c r="S69" s="10" t="s">
        <v>175</v>
      </c>
      <c r="T69" s="10" t="s">
        <v>175</v>
      </c>
      <c r="U69" s="10" t="s">
        <v>175</v>
      </c>
      <c r="V69" s="10" t="s">
        <v>175</v>
      </c>
      <c r="W69" s="10" t="s">
        <v>175</v>
      </c>
      <c r="X69" s="10" t="s">
        <v>175</v>
      </c>
      <c r="Y69" s="10" t="s">
        <v>175</v>
      </c>
      <c r="Z69" s="10" t="s">
        <v>172</v>
      </c>
    </row>
    <row r="70" customFormat="false" ht="15" hidden="false" customHeight="true" outlineLevel="0" collapsed="false">
      <c r="A70" s="10" t="s">
        <v>537</v>
      </c>
      <c r="B70" s="10" t="s">
        <v>530</v>
      </c>
      <c r="C70" s="10" t="s">
        <v>531</v>
      </c>
      <c r="D70" s="10" t="s">
        <v>538</v>
      </c>
      <c r="E70" s="10" t="s">
        <v>161</v>
      </c>
      <c r="F70" s="10" t="s">
        <v>1102</v>
      </c>
      <c r="G70" s="10" t="s">
        <v>1128</v>
      </c>
      <c r="H70" s="10" t="s">
        <v>172</v>
      </c>
      <c r="I70" s="10" t="s">
        <v>51</v>
      </c>
      <c r="J70" s="10" t="s">
        <v>198</v>
      </c>
      <c r="K70" s="10" t="s">
        <v>198</v>
      </c>
      <c r="L70" s="10" t="s">
        <v>1104</v>
      </c>
      <c r="M70" s="10" t="s">
        <v>1129</v>
      </c>
      <c r="N70" s="10" t="s">
        <v>1123</v>
      </c>
      <c r="O70" s="10" t="s">
        <v>535</v>
      </c>
      <c r="P70" s="10" t="s">
        <v>175</v>
      </c>
      <c r="Q70" s="10" t="s">
        <v>175</v>
      </c>
      <c r="R70" s="10" t="s">
        <v>175</v>
      </c>
      <c r="S70" s="10" t="s">
        <v>175</v>
      </c>
      <c r="T70" s="10" t="s">
        <v>175</v>
      </c>
      <c r="U70" s="10" t="s">
        <v>175</v>
      </c>
      <c r="V70" s="10" t="s">
        <v>175</v>
      </c>
      <c r="W70" s="10" t="s">
        <v>175</v>
      </c>
      <c r="X70" s="10" t="s">
        <v>175</v>
      </c>
      <c r="Y70" s="10" t="s">
        <v>175</v>
      </c>
      <c r="Z70" s="10" t="s">
        <v>172</v>
      </c>
    </row>
    <row r="71" customFormat="false" ht="15" hidden="false" customHeight="true" outlineLevel="0" collapsed="false">
      <c r="A71" s="10" t="s">
        <v>541</v>
      </c>
      <c r="B71" s="10" t="s">
        <v>530</v>
      </c>
      <c r="C71" s="10" t="s">
        <v>531</v>
      </c>
      <c r="D71" s="10" t="s">
        <v>542</v>
      </c>
      <c r="E71" s="10" t="s">
        <v>444</v>
      </c>
      <c r="F71" s="10" t="s">
        <v>1102</v>
      </c>
      <c r="G71" s="10" t="s">
        <v>1130</v>
      </c>
      <c r="H71" s="10" t="s">
        <v>169</v>
      </c>
      <c r="I71" s="10" t="s">
        <v>51</v>
      </c>
      <c r="J71" s="10" t="s">
        <v>198</v>
      </c>
      <c r="K71" s="10" t="s">
        <v>198</v>
      </c>
      <c r="L71" s="10" t="s">
        <v>1104</v>
      </c>
      <c r="M71" s="10" t="s">
        <v>1129</v>
      </c>
      <c r="N71" s="10" t="s">
        <v>1106</v>
      </c>
      <c r="O71" s="10" t="s">
        <v>535</v>
      </c>
      <c r="P71" s="10" t="s">
        <v>175</v>
      </c>
      <c r="Q71" s="10" t="s">
        <v>175</v>
      </c>
      <c r="R71" s="10" t="s">
        <v>175</v>
      </c>
      <c r="S71" s="10" t="s">
        <v>175</v>
      </c>
      <c r="T71" s="10" t="s">
        <v>175</v>
      </c>
      <c r="U71" s="10" t="s">
        <v>169</v>
      </c>
      <c r="V71" s="10" t="s">
        <v>175</v>
      </c>
      <c r="W71" s="10" t="s">
        <v>175</v>
      </c>
      <c r="X71" s="10" t="s">
        <v>175</v>
      </c>
      <c r="Y71" s="10" t="s">
        <v>169</v>
      </c>
      <c r="Z71" s="10" t="s">
        <v>175</v>
      </c>
    </row>
    <row r="72" customFormat="false" ht="15" hidden="false" customHeight="true" outlineLevel="0" collapsed="false">
      <c r="A72" s="10" t="s">
        <v>544</v>
      </c>
      <c r="B72" s="10" t="s">
        <v>530</v>
      </c>
      <c r="C72" s="10" t="s">
        <v>531</v>
      </c>
      <c r="D72" s="10" t="s">
        <v>545</v>
      </c>
      <c r="E72" s="10" t="s">
        <v>161</v>
      </c>
      <c r="F72" s="10" t="s">
        <v>1102</v>
      </c>
      <c r="G72" s="10" t="s">
        <v>1128</v>
      </c>
      <c r="H72" s="10" t="s">
        <v>172</v>
      </c>
      <c r="I72" s="10" t="s">
        <v>51</v>
      </c>
      <c r="J72" s="10" t="s">
        <v>198</v>
      </c>
      <c r="K72" s="10" t="s">
        <v>198</v>
      </c>
      <c r="L72" s="10" t="s">
        <v>1104</v>
      </c>
      <c r="M72" s="10" t="s">
        <v>1129</v>
      </c>
      <c r="N72" s="10" t="s">
        <v>1123</v>
      </c>
      <c r="O72" s="10" t="s">
        <v>535</v>
      </c>
      <c r="P72" s="10" t="s">
        <v>175</v>
      </c>
      <c r="Q72" s="10" t="s">
        <v>175</v>
      </c>
      <c r="R72" s="10" t="s">
        <v>175</v>
      </c>
      <c r="S72" s="10" t="s">
        <v>175</v>
      </c>
      <c r="T72" s="10" t="s">
        <v>175</v>
      </c>
      <c r="U72" s="10" t="s">
        <v>175</v>
      </c>
      <c r="V72" s="10" t="s">
        <v>175</v>
      </c>
      <c r="W72" s="10" t="s">
        <v>175</v>
      </c>
      <c r="X72" s="10" t="s">
        <v>175</v>
      </c>
      <c r="Y72" s="10" t="s">
        <v>175</v>
      </c>
      <c r="Z72" s="10" t="s">
        <v>172</v>
      </c>
    </row>
    <row r="73" customFormat="false" ht="15" hidden="false" customHeight="true" outlineLevel="0" collapsed="false">
      <c r="A73" s="10" t="s">
        <v>548</v>
      </c>
      <c r="B73" s="10" t="s">
        <v>530</v>
      </c>
      <c r="C73" s="10" t="s">
        <v>531</v>
      </c>
      <c r="D73" s="10" t="s">
        <v>549</v>
      </c>
      <c r="E73" s="10" t="s">
        <v>161</v>
      </c>
      <c r="F73" s="10" t="s">
        <v>1102</v>
      </c>
      <c r="G73" s="10" t="s">
        <v>1128</v>
      </c>
      <c r="H73" s="10" t="s">
        <v>172</v>
      </c>
      <c r="I73" s="10" t="s">
        <v>51</v>
      </c>
      <c r="J73" s="10" t="s">
        <v>198</v>
      </c>
      <c r="K73" s="10" t="s">
        <v>198</v>
      </c>
      <c r="L73" s="10" t="s">
        <v>1104</v>
      </c>
      <c r="M73" s="10" t="s">
        <v>1129</v>
      </c>
      <c r="N73" s="10" t="s">
        <v>1123</v>
      </c>
      <c r="O73" s="10" t="s">
        <v>535</v>
      </c>
      <c r="P73" s="10" t="s">
        <v>175</v>
      </c>
      <c r="Q73" s="10" t="s">
        <v>175</v>
      </c>
      <c r="R73" s="10" t="s">
        <v>175</v>
      </c>
      <c r="S73" s="10" t="s">
        <v>175</v>
      </c>
      <c r="T73" s="10" t="s">
        <v>175</v>
      </c>
      <c r="U73" s="10" t="s">
        <v>175</v>
      </c>
      <c r="V73" s="10" t="s">
        <v>175</v>
      </c>
      <c r="W73" s="10" t="s">
        <v>175</v>
      </c>
      <c r="X73" s="10" t="s">
        <v>175</v>
      </c>
      <c r="Y73" s="10" t="s">
        <v>175</v>
      </c>
      <c r="Z73" s="10" t="s">
        <v>172</v>
      </c>
    </row>
    <row r="74" customFormat="false" ht="15" hidden="false" customHeight="true" outlineLevel="0" collapsed="false">
      <c r="A74" s="10" t="s">
        <v>552</v>
      </c>
      <c r="B74" s="10" t="s">
        <v>530</v>
      </c>
      <c r="C74" s="10" t="s">
        <v>531</v>
      </c>
      <c r="D74" s="10" t="s">
        <v>553</v>
      </c>
      <c r="E74" s="10" t="s">
        <v>161</v>
      </c>
      <c r="F74" s="10" t="s">
        <v>1102</v>
      </c>
      <c r="G74" s="10" t="s">
        <v>1128</v>
      </c>
      <c r="H74" s="10" t="s">
        <v>172</v>
      </c>
      <c r="I74" s="10" t="s">
        <v>51</v>
      </c>
      <c r="J74" s="10" t="s">
        <v>198</v>
      </c>
      <c r="K74" s="10" t="s">
        <v>198</v>
      </c>
      <c r="L74" s="10" t="s">
        <v>1104</v>
      </c>
      <c r="M74" s="10" t="s">
        <v>1129</v>
      </c>
      <c r="N74" s="10" t="s">
        <v>1123</v>
      </c>
      <c r="O74" s="10" t="s">
        <v>535</v>
      </c>
      <c r="P74" s="10" t="s">
        <v>175</v>
      </c>
      <c r="Q74" s="10" t="s">
        <v>175</v>
      </c>
      <c r="R74" s="10" t="s">
        <v>175</v>
      </c>
      <c r="S74" s="10" t="s">
        <v>175</v>
      </c>
      <c r="T74" s="10" t="s">
        <v>175</v>
      </c>
      <c r="U74" s="10" t="s">
        <v>175</v>
      </c>
      <c r="V74" s="10" t="s">
        <v>175</v>
      </c>
      <c r="W74" s="10" t="s">
        <v>175</v>
      </c>
      <c r="X74" s="10" t="s">
        <v>175</v>
      </c>
      <c r="Y74" s="10" t="s">
        <v>175</v>
      </c>
      <c r="Z74" s="10" t="s">
        <v>172</v>
      </c>
    </row>
    <row r="75" customFormat="false" ht="15" hidden="false" customHeight="true" outlineLevel="0" collapsed="false">
      <c r="A75" s="10" t="s">
        <v>556</v>
      </c>
      <c r="B75" s="10" t="s">
        <v>530</v>
      </c>
      <c r="C75" s="10" t="s">
        <v>531</v>
      </c>
      <c r="D75" s="10" t="s">
        <v>557</v>
      </c>
      <c r="E75" s="10" t="s">
        <v>558</v>
      </c>
      <c r="F75" s="10" t="s">
        <v>1102</v>
      </c>
      <c r="G75" s="10" t="s">
        <v>1131</v>
      </c>
      <c r="H75" s="10" t="s">
        <v>169</v>
      </c>
      <c r="I75" s="10" t="s">
        <v>51</v>
      </c>
      <c r="J75" s="10" t="s">
        <v>198</v>
      </c>
      <c r="K75" s="10" t="s">
        <v>198</v>
      </c>
      <c r="L75" s="10" t="s">
        <v>1104</v>
      </c>
      <c r="M75" s="10" t="s">
        <v>1129</v>
      </c>
      <c r="N75" s="10" t="s">
        <v>1106</v>
      </c>
      <c r="O75" s="10" t="s">
        <v>535</v>
      </c>
      <c r="P75" s="10" t="s">
        <v>175</v>
      </c>
      <c r="Q75" s="10" t="s">
        <v>175</v>
      </c>
      <c r="R75" s="10" t="s">
        <v>169</v>
      </c>
      <c r="S75" s="10" t="s">
        <v>175</v>
      </c>
      <c r="T75" s="10" t="s">
        <v>175</v>
      </c>
      <c r="U75" s="10" t="s">
        <v>175</v>
      </c>
      <c r="V75" s="10" t="s">
        <v>175</v>
      </c>
      <c r="W75" s="10" t="s">
        <v>175</v>
      </c>
      <c r="X75" s="10" t="s">
        <v>175</v>
      </c>
      <c r="Y75" s="10" t="s">
        <v>169</v>
      </c>
      <c r="Z75" s="10" t="s">
        <v>175</v>
      </c>
    </row>
    <row r="76" customFormat="false" ht="15" hidden="false" customHeight="true" outlineLevel="0" collapsed="false">
      <c r="A76" s="10" t="s">
        <v>562</v>
      </c>
      <c r="B76" s="10" t="s">
        <v>530</v>
      </c>
      <c r="C76" s="10" t="s">
        <v>531</v>
      </c>
      <c r="D76" s="10" t="s">
        <v>563</v>
      </c>
      <c r="E76" s="10" t="s">
        <v>161</v>
      </c>
      <c r="F76" s="10" t="s">
        <v>1102</v>
      </c>
      <c r="G76" s="10" t="s">
        <v>1128</v>
      </c>
      <c r="H76" s="10" t="s">
        <v>172</v>
      </c>
      <c r="I76" s="10" t="s">
        <v>51</v>
      </c>
      <c r="J76" s="10" t="s">
        <v>198</v>
      </c>
      <c r="K76" s="10" t="s">
        <v>198</v>
      </c>
      <c r="L76" s="10" t="s">
        <v>1104</v>
      </c>
      <c r="M76" s="10" t="s">
        <v>1129</v>
      </c>
      <c r="N76" s="10" t="s">
        <v>1123</v>
      </c>
      <c r="O76" s="10" t="s">
        <v>535</v>
      </c>
      <c r="P76" s="10" t="s">
        <v>175</v>
      </c>
      <c r="Q76" s="10" t="s">
        <v>175</v>
      </c>
      <c r="R76" s="10" t="s">
        <v>175</v>
      </c>
      <c r="S76" s="10" t="s">
        <v>175</v>
      </c>
      <c r="T76" s="10" t="s">
        <v>175</v>
      </c>
      <c r="U76" s="10" t="s">
        <v>175</v>
      </c>
      <c r="V76" s="10" t="s">
        <v>175</v>
      </c>
      <c r="W76" s="10" t="s">
        <v>175</v>
      </c>
      <c r="X76" s="10" t="s">
        <v>175</v>
      </c>
      <c r="Y76" s="10" t="s">
        <v>175</v>
      </c>
      <c r="Z76" s="10" t="s">
        <v>172</v>
      </c>
    </row>
    <row r="77" customFormat="false" ht="15" hidden="false" customHeight="true" outlineLevel="0" collapsed="false">
      <c r="A77" s="10" t="s">
        <v>565</v>
      </c>
      <c r="B77" s="10" t="s">
        <v>530</v>
      </c>
      <c r="C77" s="10" t="s">
        <v>531</v>
      </c>
      <c r="D77" s="10" t="s">
        <v>566</v>
      </c>
      <c r="E77" s="10" t="s">
        <v>161</v>
      </c>
      <c r="F77" s="10" t="s">
        <v>1102</v>
      </c>
      <c r="G77" s="10" t="s">
        <v>1128</v>
      </c>
      <c r="H77" s="10" t="s">
        <v>172</v>
      </c>
      <c r="I77" s="10" t="s">
        <v>62</v>
      </c>
      <c r="J77" s="10" t="s">
        <v>1108</v>
      </c>
      <c r="K77" s="10" t="s">
        <v>567</v>
      </c>
      <c r="L77" s="10" t="s">
        <v>1104</v>
      </c>
      <c r="M77" s="10" t="s">
        <v>1129</v>
      </c>
      <c r="N77" s="10" t="s">
        <v>1123</v>
      </c>
      <c r="O77" s="10" t="s">
        <v>535</v>
      </c>
      <c r="P77" s="10" t="s">
        <v>175</v>
      </c>
      <c r="Q77" s="10" t="s">
        <v>175</v>
      </c>
      <c r="R77" s="10" t="s">
        <v>175</v>
      </c>
      <c r="S77" s="10" t="s">
        <v>175</v>
      </c>
      <c r="T77" s="10" t="s">
        <v>175</v>
      </c>
      <c r="U77" s="10" t="s">
        <v>175</v>
      </c>
      <c r="V77" s="10" t="s">
        <v>175</v>
      </c>
      <c r="W77" s="10" t="s">
        <v>175</v>
      </c>
      <c r="X77" s="10" t="s">
        <v>175</v>
      </c>
      <c r="Y77" s="10" t="s">
        <v>175</v>
      </c>
      <c r="Z77" s="10" t="s">
        <v>172</v>
      </c>
    </row>
    <row r="78" customFormat="false" ht="15" hidden="false" customHeight="true" outlineLevel="0" collapsed="false">
      <c r="A78" s="10" t="s">
        <v>570</v>
      </c>
      <c r="B78" s="10" t="s">
        <v>530</v>
      </c>
      <c r="C78" s="10" t="s">
        <v>531</v>
      </c>
      <c r="D78" s="10" t="s">
        <v>571</v>
      </c>
      <c r="E78" s="10" t="s">
        <v>144</v>
      </c>
      <c r="F78" s="10" t="s">
        <v>1102</v>
      </c>
      <c r="G78" s="10" t="s">
        <v>1131</v>
      </c>
      <c r="H78" s="10" t="s">
        <v>169</v>
      </c>
      <c r="I78" s="10" t="s">
        <v>51</v>
      </c>
      <c r="J78" s="10" t="s">
        <v>198</v>
      </c>
      <c r="K78" s="10" t="s">
        <v>198</v>
      </c>
      <c r="L78" s="10" t="s">
        <v>1104</v>
      </c>
      <c r="M78" s="10" t="s">
        <v>1129</v>
      </c>
      <c r="N78" s="10" t="s">
        <v>1106</v>
      </c>
      <c r="O78" s="10" t="s">
        <v>535</v>
      </c>
      <c r="P78" s="10" t="s">
        <v>175</v>
      </c>
      <c r="Q78" s="10" t="s">
        <v>175</v>
      </c>
      <c r="R78" s="10" t="s">
        <v>169</v>
      </c>
      <c r="S78" s="10" t="s">
        <v>175</v>
      </c>
      <c r="T78" s="10" t="s">
        <v>175</v>
      </c>
      <c r="U78" s="10" t="s">
        <v>175</v>
      </c>
      <c r="V78" s="10" t="s">
        <v>175</v>
      </c>
      <c r="W78" s="10" t="s">
        <v>175</v>
      </c>
      <c r="X78" s="10" t="s">
        <v>175</v>
      </c>
      <c r="Y78" s="10" t="s">
        <v>175</v>
      </c>
      <c r="Z78" s="10" t="s">
        <v>175</v>
      </c>
    </row>
    <row r="79" customFormat="false" ht="15" hidden="false" customHeight="true" outlineLevel="0" collapsed="false">
      <c r="A79" s="10" t="s">
        <v>575</v>
      </c>
      <c r="B79" s="10" t="s">
        <v>530</v>
      </c>
      <c r="C79" s="10" t="s">
        <v>531</v>
      </c>
      <c r="D79" s="10" t="s">
        <v>576</v>
      </c>
      <c r="E79" s="10" t="s">
        <v>161</v>
      </c>
      <c r="F79" s="10" t="s">
        <v>1102</v>
      </c>
      <c r="G79" s="10" t="s">
        <v>1128</v>
      </c>
      <c r="H79" s="10" t="s">
        <v>172</v>
      </c>
      <c r="I79" s="10" t="s">
        <v>51</v>
      </c>
      <c r="J79" s="10" t="s">
        <v>1111</v>
      </c>
      <c r="K79" s="10" t="s">
        <v>198</v>
      </c>
      <c r="L79" s="10" t="s">
        <v>1104</v>
      </c>
      <c r="M79" s="10" t="s">
        <v>1129</v>
      </c>
      <c r="N79" s="10" t="s">
        <v>1123</v>
      </c>
      <c r="O79" s="10" t="s">
        <v>535</v>
      </c>
      <c r="P79" s="10" t="s">
        <v>175</v>
      </c>
      <c r="Q79" s="10" t="s">
        <v>175</v>
      </c>
      <c r="R79" s="10" t="s">
        <v>175</v>
      </c>
      <c r="S79" s="10" t="s">
        <v>175</v>
      </c>
      <c r="T79" s="10" t="s">
        <v>175</v>
      </c>
      <c r="U79" s="10" t="s">
        <v>175</v>
      </c>
      <c r="V79" s="10" t="s">
        <v>175</v>
      </c>
      <c r="W79" s="10" t="s">
        <v>175</v>
      </c>
      <c r="X79" s="10" t="s">
        <v>175</v>
      </c>
      <c r="Y79" s="10" t="s">
        <v>175</v>
      </c>
      <c r="Z79" s="10" t="s">
        <v>172</v>
      </c>
    </row>
    <row r="80" customFormat="false" ht="15" hidden="false" customHeight="true" outlineLevel="0" collapsed="false">
      <c r="A80" s="10" t="s">
        <v>579</v>
      </c>
      <c r="B80" s="10" t="s">
        <v>530</v>
      </c>
      <c r="C80" s="10" t="s">
        <v>531</v>
      </c>
      <c r="D80" s="10" t="s">
        <v>580</v>
      </c>
      <c r="E80" s="10" t="s">
        <v>581</v>
      </c>
      <c r="F80" s="10" t="s">
        <v>1102</v>
      </c>
      <c r="G80" s="10" t="s">
        <v>1132</v>
      </c>
      <c r="H80" s="10" t="s">
        <v>169</v>
      </c>
      <c r="I80" s="10" t="s">
        <v>51</v>
      </c>
      <c r="J80" s="10" t="s">
        <v>198</v>
      </c>
      <c r="K80" s="10" t="s">
        <v>198</v>
      </c>
      <c r="L80" s="10" t="s">
        <v>1104</v>
      </c>
      <c r="M80" s="10" t="s">
        <v>1129</v>
      </c>
      <c r="N80" s="10" t="s">
        <v>1106</v>
      </c>
      <c r="O80" s="10" t="s">
        <v>535</v>
      </c>
      <c r="P80" s="10" t="s">
        <v>169</v>
      </c>
      <c r="Q80" s="10" t="s">
        <v>175</v>
      </c>
      <c r="R80" s="10" t="s">
        <v>175</v>
      </c>
      <c r="S80" s="10" t="s">
        <v>169</v>
      </c>
      <c r="T80" s="10" t="s">
        <v>169</v>
      </c>
      <c r="U80" s="10" t="s">
        <v>175</v>
      </c>
      <c r="V80" s="10" t="s">
        <v>175</v>
      </c>
      <c r="W80" s="10" t="s">
        <v>175</v>
      </c>
      <c r="X80" s="10" t="s">
        <v>175</v>
      </c>
      <c r="Y80" s="10" t="s">
        <v>175</v>
      </c>
      <c r="Z80" s="10" t="s">
        <v>175</v>
      </c>
    </row>
    <row r="81" customFormat="false" ht="15" hidden="false" customHeight="true" outlineLevel="0" collapsed="false">
      <c r="A81" s="10" t="s">
        <v>585</v>
      </c>
      <c r="B81" s="10" t="s">
        <v>530</v>
      </c>
      <c r="C81" s="10" t="s">
        <v>531</v>
      </c>
      <c r="D81" s="10" t="s">
        <v>586</v>
      </c>
      <c r="E81" s="10" t="s">
        <v>587</v>
      </c>
      <c r="F81" s="10" t="s">
        <v>1102</v>
      </c>
      <c r="G81" s="10" t="s">
        <v>1132</v>
      </c>
      <c r="H81" s="10" t="s">
        <v>169</v>
      </c>
      <c r="I81" s="10" t="s">
        <v>51</v>
      </c>
      <c r="J81" s="10" t="s">
        <v>198</v>
      </c>
      <c r="K81" s="10" t="s">
        <v>198</v>
      </c>
      <c r="L81" s="10" t="s">
        <v>1104</v>
      </c>
      <c r="M81" s="10" t="s">
        <v>1129</v>
      </c>
      <c r="N81" s="10" t="s">
        <v>1106</v>
      </c>
      <c r="O81" s="10" t="s">
        <v>535</v>
      </c>
      <c r="P81" s="10" t="s">
        <v>169</v>
      </c>
      <c r="Q81" s="10" t="s">
        <v>175</v>
      </c>
      <c r="R81" s="10" t="s">
        <v>175</v>
      </c>
      <c r="S81" s="10" t="s">
        <v>169</v>
      </c>
      <c r="T81" s="10" t="s">
        <v>175</v>
      </c>
      <c r="U81" s="10" t="s">
        <v>169</v>
      </c>
      <c r="V81" s="10" t="s">
        <v>175</v>
      </c>
      <c r="W81" s="10" t="s">
        <v>175</v>
      </c>
      <c r="X81" s="10" t="s">
        <v>175</v>
      </c>
      <c r="Y81" s="10" t="s">
        <v>175</v>
      </c>
      <c r="Z81" s="10" t="s">
        <v>175</v>
      </c>
    </row>
    <row r="82" customFormat="false" ht="15" hidden="false" customHeight="true" outlineLevel="0" collapsed="false">
      <c r="A82" s="10" t="s">
        <v>590</v>
      </c>
      <c r="B82" s="10" t="s">
        <v>530</v>
      </c>
      <c r="C82" s="10" t="s">
        <v>531</v>
      </c>
      <c r="D82" s="10" t="s">
        <v>591</v>
      </c>
      <c r="E82" s="10" t="s">
        <v>592</v>
      </c>
      <c r="F82" s="10" t="s">
        <v>1102</v>
      </c>
      <c r="G82" s="10" t="s">
        <v>1132</v>
      </c>
      <c r="H82" s="10" t="s">
        <v>169</v>
      </c>
      <c r="I82" s="10" t="s">
        <v>51</v>
      </c>
      <c r="J82" s="10" t="s">
        <v>198</v>
      </c>
      <c r="K82" s="10" t="s">
        <v>198</v>
      </c>
      <c r="L82" s="10" t="s">
        <v>1104</v>
      </c>
      <c r="M82" s="10" t="s">
        <v>1129</v>
      </c>
      <c r="N82" s="10" t="s">
        <v>1106</v>
      </c>
      <c r="O82" s="10" t="s">
        <v>535</v>
      </c>
      <c r="P82" s="10" t="s">
        <v>175</v>
      </c>
      <c r="Q82" s="10" t="s">
        <v>175</v>
      </c>
      <c r="R82" s="10" t="s">
        <v>175</v>
      </c>
      <c r="S82" s="10" t="s">
        <v>169</v>
      </c>
      <c r="T82" s="10" t="s">
        <v>175</v>
      </c>
      <c r="U82" s="10" t="s">
        <v>169</v>
      </c>
      <c r="V82" s="10" t="s">
        <v>175</v>
      </c>
      <c r="W82" s="10" t="s">
        <v>175</v>
      </c>
      <c r="X82" s="10" t="s">
        <v>175</v>
      </c>
      <c r="Y82" s="10" t="s">
        <v>175</v>
      </c>
      <c r="Z82" s="10" t="s">
        <v>175</v>
      </c>
    </row>
    <row r="83" customFormat="false" ht="15" hidden="false" customHeight="true" outlineLevel="0" collapsed="false">
      <c r="A83" s="10" t="s">
        <v>596</v>
      </c>
      <c r="B83" s="10" t="s">
        <v>530</v>
      </c>
      <c r="C83" s="10" t="s">
        <v>531</v>
      </c>
      <c r="D83" s="10" t="s">
        <v>597</v>
      </c>
      <c r="E83" s="10" t="s">
        <v>592</v>
      </c>
      <c r="F83" s="10" t="s">
        <v>1102</v>
      </c>
      <c r="G83" s="10" t="s">
        <v>1132</v>
      </c>
      <c r="H83" s="10" t="s">
        <v>169</v>
      </c>
      <c r="I83" s="10" t="s">
        <v>51</v>
      </c>
      <c r="J83" s="10" t="s">
        <v>198</v>
      </c>
      <c r="K83" s="10" t="s">
        <v>198</v>
      </c>
      <c r="L83" s="10" t="s">
        <v>1104</v>
      </c>
      <c r="M83" s="10" t="s">
        <v>1129</v>
      </c>
      <c r="N83" s="10" t="s">
        <v>1106</v>
      </c>
      <c r="O83" s="10" t="s">
        <v>535</v>
      </c>
      <c r="P83" s="10" t="s">
        <v>175</v>
      </c>
      <c r="Q83" s="10" t="s">
        <v>175</v>
      </c>
      <c r="R83" s="10" t="s">
        <v>175</v>
      </c>
      <c r="S83" s="10" t="s">
        <v>169</v>
      </c>
      <c r="T83" s="10" t="s">
        <v>175</v>
      </c>
      <c r="U83" s="10" t="s">
        <v>169</v>
      </c>
      <c r="V83" s="10" t="s">
        <v>175</v>
      </c>
      <c r="W83" s="10" t="s">
        <v>175</v>
      </c>
      <c r="X83" s="10" t="s">
        <v>175</v>
      </c>
      <c r="Y83" s="10" t="s">
        <v>175</v>
      </c>
      <c r="Z83" s="10" t="s">
        <v>175</v>
      </c>
    </row>
    <row r="84" customFormat="false" ht="15" hidden="false" customHeight="true" outlineLevel="0" collapsed="false">
      <c r="A84" s="10" t="s">
        <v>599</v>
      </c>
      <c r="B84" s="10" t="s">
        <v>530</v>
      </c>
      <c r="C84" s="10" t="s">
        <v>531</v>
      </c>
      <c r="D84" s="10" t="s">
        <v>600</v>
      </c>
      <c r="E84" s="10" t="s">
        <v>601</v>
      </c>
      <c r="F84" s="10" t="s">
        <v>1102</v>
      </c>
      <c r="G84" s="10" t="s">
        <v>1131</v>
      </c>
      <c r="H84" s="10" t="s">
        <v>169</v>
      </c>
      <c r="I84" s="10" t="s">
        <v>51</v>
      </c>
      <c r="J84" s="10" t="s">
        <v>198</v>
      </c>
      <c r="K84" s="10" t="s">
        <v>198</v>
      </c>
      <c r="L84" s="10" t="s">
        <v>1104</v>
      </c>
      <c r="M84" s="10" t="s">
        <v>1129</v>
      </c>
      <c r="N84" s="10" t="s">
        <v>1106</v>
      </c>
      <c r="O84" s="10" t="s">
        <v>535</v>
      </c>
      <c r="P84" s="10" t="s">
        <v>175</v>
      </c>
      <c r="Q84" s="10" t="s">
        <v>175</v>
      </c>
      <c r="R84" s="10" t="s">
        <v>169</v>
      </c>
      <c r="S84" s="10" t="s">
        <v>169</v>
      </c>
      <c r="T84" s="10" t="s">
        <v>175</v>
      </c>
      <c r="U84" s="10" t="s">
        <v>169</v>
      </c>
      <c r="V84" s="10" t="s">
        <v>175</v>
      </c>
      <c r="W84" s="10" t="s">
        <v>175</v>
      </c>
      <c r="X84" s="10" t="s">
        <v>175</v>
      </c>
      <c r="Y84" s="10" t="s">
        <v>175</v>
      </c>
      <c r="Z84" s="10" t="s">
        <v>175</v>
      </c>
    </row>
    <row r="85" customFormat="false" ht="15" hidden="false" customHeight="true" outlineLevel="0" collapsed="false">
      <c r="A85" s="10" t="s">
        <v>605</v>
      </c>
      <c r="B85" s="10" t="s">
        <v>530</v>
      </c>
      <c r="C85" s="10" t="s">
        <v>531</v>
      </c>
      <c r="D85" s="10" t="s">
        <v>606</v>
      </c>
      <c r="E85" s="10" t="s">
        <v>592</v>
      </c>
      <c r="F85" s="10" t="s">
        <v>1102</v>
      </c>
      <c r="G85" s="10" t="s">
        <v>1132</v>
      </c>
      <c r="H85" s="10" t="s">
        <v>169</v>
      </c>
      <c r="I85" s="10" t="s">
        <v>51</v>
      </c>
      <c r="J85" s="10" t="s">
        <v>198</v>
      </c>
      <c r="K85" s="10" t="s">
        <v>198</v>
      </c>
      <c r="L85" s="10" t="s">
        <v>1104</v>
      </c>
      <c r="M85" s="10" t="s">
        <v>1129</v>
      </c>
      <c r="N85" s="10" t="s">
        <v>1106</v>
      </c>
      <c r="O85" s="10" t="s">
        <v>535</v>
      </c>
      <c r="P85" s="10" t="s">
        <v>175</v>
      </c>
      <c r="Q85" s="10" t="s">
        <v>175</v>
      </c>
      <c r="R85" s="10" t="s">
        <v>175</v>
      </c>
      <c r="S85" s="10" t="s">
        <v>169</v>
      </c>
      <c r="T85" s="10" t="s">
        <v>175</v>
      </c>
      <c r="U85" s="10" t="s">
        <v>169</v>
      </c>
      <c r="V85" s="10" t="s">
        <v>175</v>
      </c>
      <c r="W85" s="10" t="s">
        <v>175</v>
      </c>
      <c r="X85" s="10" t="s">
        <v>175</v>
      </c>
      <c r="Y85" s="10" t="s">
        <v>175</v>
      </c>
      <c r="Z85" s="10" t="s">
        <v>175</v>
      </c>
    </row>
    <row r="86" customFormat="false" ht="15" hidden="false" customHeight="true" outlineLevel="0" collapsed="false">
      <c r="A86" s="10" t="s">
        <v>609</v>
      </c>
      <c r="B86" s="10" t="s">
        <v>530</v>
      </c>
      <c r="C86" s="10" t="s">
        <v>531</v>
      </c>
      <c r="D86" s="10" t="s">
        <v>610</v>
      </c>
      <c r="E86" s="10" t="s">
        <v>150</v>
      </c>
      <c r="F86" s="10" t="s">
        <v>1102</v>
      </c>
      <c r="G86" s="10" t="s">
        <v>1130</v>
      </c>
      <c r="H86" s="10" t="s">
        <v>169</v>
      </c>
      <c r="I86" s="10" t="s">
        <v>51</v>
      </c>
      <c r="J86" s="10" t="s">
        <v>198</v>
      </c>
      <c r="K86" s="10" t="s">
        <v>198</v>
      </c>
      <c r="L86" s="10" t="s">
        <v>1104</v>
      </c>
      <c r="M86" s="10" t="s">
        <v>1129</v>
      </c>
      <c r="N86" s="10" t="s">
        <v>1106</v>
      </c>
      <c r="O86" s="10" t="s">
        <v>535</v>
      </c>
      <c r="P86" s="10" t="s">
        <v>175</v>
      </c>
      <c r="Q86" s="10" t="s">
        <v>175</v>
      </c>
      <c r="R86" s="10" t="s">
        <v>175</v>
      </c>
      <c r="S86" s="10" t="s">
        <v>175</v>
      </c>
      <c r="T86" s="10" t="s">
        <v>175</v>
      </c>
      <c r="U86" s="10" t="s">
        <v>169</v>
      </c>
      <c r="V86" s="10" t="s">
        <v>175</v>
      </c>
      <c r="W86" s="10" t="s">
        <v>175</v>
      </c>
      <c r="X86" s="10" t="s">
        <v>175</v>
      </c>
      <c r="Y86" s="10" t="s">
        <v>175</v>
      </c>
      <c r="Z86" s="10" t="s">
        <v>175</v>
      </c>
    </row>
    <row r="87" customFormat="false" ht="15" hidden="false" customHeight="true" outlineLevel="0" collapsed="false">
      <c r="A87" s="10" t="s">
        <v>614</v>
      </c>
      <c r="B87" s="10" t="s">
        <v>530</v>
      </c>
      <c r="C87" s="10" t="s">
        <v>531</v>
      </c>
      <c r="D87" s="10" t="s">
        <v>615</v>
      </c>
      <c r="E87" s="10" t="s">
        <v>161</v>
      </c>
      <c r="F87" s="10" t="s">
        <v>1102</v>
      </c>
      <c r="G87" s="10" t="s">
        <v>1128</v>
      </c>
      <c r="H87" s="10" t="s">
        <v>172</v>
      </c>
      <c r="I87" s="10" t="s">
        <v>51</v>
      </c>
      <c r="J87" s="10" t="s">
        <v>198</v>
      </c>
      <c r="K87" s="10" t="s">
        <v>198</v>
      </c>
      <c r="L87" s="10" t="s">
        <v>1104</v>
      </c>
      <c r="M87" s="10" t="s">
        <v>1129</v>
      </c>
      <c r="N87" s="10" t="s">
        <v>1123</v>
      </c>
      <c r="O87" s="10" t="s">
        <v>535</v>
      </c>
      <c r="P87" s="10" t="s">
        <v>175</v>
      </c>
      <c r="Q87" s="10" t="s">
        <v>175</v>
      </c>
      <c r="R87" s="10" t="s">
        <v>175</v>
      </c>
      <c r="S87" s="10" t="s">
        <v>175</v>
      </c>
      <c r="T87" s="10" t="s">
        <v>175</v>
      </c>
      <c r="U87" s="10" t="s">
        <v>175</v>
      </c>
      <c r="V87" s="10" t="s">
        <v>175</v>
      </c>
      <c r="W87" s="10" t="s">
        <v>175</v>
      </c>
      <c r="X87" s="10" t="s">
        <v>175</v>
      </c>
      <c r="Y87" s="10" t="s">
        <v>175</v>
      </c>
      <c r="Z87" s="10" t="s">
        <v>172</v>
      </c>
    </row>
    <row r="88" customFormat="false" ht="15" hidden="false" customHeight="true" outlineLevel="0" collapsed="false">
      <c r="A88" s="10" t="s">
        <v>618</v>
      </c>
      <c r="B88" s="10" t="s">
        <v>530</v>
      </c>
      <c r="C88" s="10" t="s">
        <v>531</v>
      </c>
      <c r="D88" s="10" t="s">
        <v>619</v>
      </c>
      <c r="E88" s="10" t="s">
        <v>161</v>
      </c>
      <c r="F88" s="10" t="s">
        <v>1102</v>
      </c>
      <c r="G88" s="10" t="s">
        <v>1128</v>
      </c>
      <c r="H88" s="10" t="s">
        <v>172</v>
      </c>
      <c r="I88" s="10" t="s">
        <v>51</v>
      </c>
      <c r="J88" s="10" t="s">
        <v>1111</v>
      </c>
      <c r="K88" s="10" t="s">
        <v>198</v>
      </c>
      <c r="L88" s="10" t="s">
        <v>1104</v>
      </c>
      <c r="M88" s="10" t="s">
        <v>1129</v>
      </c>
      <c r="N88" s="10" t="s">
        <v>1123</v>
      </c>
      <c r="O88" s="10" t="s">
        <v>535</v>
      </c>
      <c r="P88" s="10" t="s">
        <v>175</v>
      </c>
      <c r="Q88" s="10" t="s">
        <v>175</v>
      </c>
      <c r="R88" s="10" t="s">
        <v>175</v>
      </c>
      <c r="S88" s="10" t="s">
        <v>175</v>
      </c>
      <c r="T88" s="10" t="s">
        <v>175</v>
      </c>
      <c r="U88" s="10" t="s">
        <v>175</v>
      </c>
      <c r="V88" s="10" t="s">
        <v>175</v>
      </c>
      <c r="W88" s="10" t="s">
        <v>175</v>
      </c>
      <c r="X88" s="10" t="s">
        <v>175</v>
      </c>
      <c r="Y88" s="10" t="s">
        <v>175</v>
      </c>
      <c r="Z88" s="10" t="s">
        <v>172</v>
      </c>
    </row>
    <row r="89" customFormat="false" ht="15" hidden="false" customHeight="true" outlineLevel="0" collapsed="false">
      <c r="A89" s="10" t="s">
        <v>622</v>
      </c>
      <c r="B89" s="10" t="s">
        <v>530</v>
      </c>
      <c r="C89" s="10" t="s">
        <v>531</v>
      </c>
      <c r="D89" s="10" t="s">
        <v>623</v>
      </c>
      <c r="E89" s="10" t="s">
        <v>161</v>
      </c>
      <c r="F89" s="10" t="s">
        <v>1102</v>
      </c>
      <c r="G89" s="10" t="s">
        <v>1128</v>
      </c>
      <c r="H89" s="10" t="s">
        <v>172</v>
      </c>
      <c r="I89" s="10" t="s">
        <v>51</v>
      </c>
      <c r="J89" s="10" t="s">
        <v>198</v>
      </c>
      <c r="K89" s="10" t="s">
        <v>198</v>
      </c>
      <c r="L89" s="10" t="s">
        <v>1104</v>
      </c>
      <c r="M89" s="10" t="s">
        <v>1129</v>
      </c>
      <c r="N89" s="10" t="s">
        <v>1123</v>
      </c>
      <c r="O89" s="10" t="s">
        <v>535</v>
      </c>
      <c r="P89" s="10" t="s">
        <v>175</v>
      </c>
      <c r="Q89" s="10" t="s">
        <v>175</v>
      </c>
      <c r="R89" s="10" t="s">
        <v>175</v>
      </c>
      <c r="S89" s="10" t="s">
        <v>175</v>
      </c>
      <c r="T89" s="10" t="s">
        <v>175</v>
      </c>
      <c r="U89" s="10" t="s">
        <v>175</v>
      </c>
      <c r="V89" s="10" t="s">
        <v>175</v>
      </c>
      <c r="W89" s="10" t="s">
        <v>175</v>
      </c>
      <c r="X89" s="10" t="s">
        <v>175</v>
      </c>
      <c r="Y89" s="10" t="s">
        <v>175</v>
      </c>
      <c r="Z89" s="10" t="s">
        <v>172</v>
      </c>
    </row>
    <row r="90" customFormat="false" ht="15" hidden="false" customHeight="true" outlineLevel="0" collapsed="false">
      <c r="A90" s="10" t="s">
        <v>626</v>
      </c>
      <c r="B90" s="10" t="s">
        <v>530</v>
      </c>
      <c r="C90" s="10" t="s">
        <v>531</v>
      </c>
      <c r="D90" s="10" t="s">
        <v>627</v>
      </c>
      <c r="E90" s="10" t="s">
        <v>139</v>
      </c>
      <c r="F90" s="10" t="s">
        <v>1102</v>
      </c>
      <c r="G90" s="10" t="s">
        <v>1128</v>
      </c>
      <c r="H90" s="10" t="s">
        <v>169</v>
      </c>
      <c r="I90" s="10" t="s">
        <v>51</v>
      </c>
      <c r="J90" s="10" t="s">
        <v>198</v>
      </c>
      <c r="K90" s="10" t="s">
        <v>198</v>
      </c>
      <c r="L90" s="10" t="s">
        <v>1104</v>
      </c>
      <c r="M90" s="10" t="s">
        <v>1129</v>
      </c>
      <c r="N90" s="10" t="s">
        <v>1106</v>
      </c>
      <c r="O90" s="10" t="s">
        <v>535</v>
      </c>
      <c r="P90" s="10" t="s">
        <v>169</v>
      </c>
      <c r="Q90" s="10" t="s">
        <v>175</v>
      </c>
      <c r="R90" s="10" t="s">
        <v>175</v>
      </c>
      <c r="S90" s="10" t="s">
        <v>175</v>
      </c>
      <c r="T90" s="10" t="s">
        <v>175</v>
      </c>
      <c r="U90" s="10" t="s">
        <v>175</v>
      </c>
      <c r="V90" s="10" t="s">
        <v>175</v>
      </c>
      <c r="W90" s="10" t="s">
        <v>175</v>
      </c>
      <c r="X90" s="10" t="s">
        <v>175</v>
      </c>
      <c r="Y90" s="10" t="s">
        <v>175</v>
      </c>
      <c r="Z90" s="10" t="s">
        <v>175</v>
      </c>
    </row>
    <row r="91" customFormat="false" ht="15" hidden="false" customHeight="true" outlineLevel="0" collapsed="false">
      <c r="A91" s="10" t="s">
        <v>630</v>
      </c>
      <c r="B91" s="10" t="s">
        <v>530</v>
      </c>
      <c r="C91" s="10" t="s">
        <v>631</v>
      </c>
      <c r="D91" s="10" t="s">
        <v>632</v>
      </c>
      <c r="E91" s="10" t="s">
        <v>156</v>
      </c>
      <c r="F91" s="10" t="s">
        <v>1102</v>
      </c>
      <c r="G91" s="10" t="s">
        <v>1133</v>
      </c>
      <c r="H91" s="10" t="s">
        <v>169</v>
      </c>
      <c r="I91" s="10" t="s">
        <v>51</v>
      </c>
      <c r="J91" s="10" t="s">
        <v>198</v>
      </c>
      <c r="K91" s="10" t="s">
        <v>198</v>
      </c>
      <c r="L91" s="10" t="s">
        <v>1104</v>
      </c>
      <c r="M91" s="10" t="s">
        <v>1129</v>
      </c>
      <c r="N91" s="10" t="s">
        <v>1106</v>
      </c>
      <c r="O91" s="10" t="s">
        <v>635</v>
      </c>
      <c r="P91" s="10" t="s">
        <v>175</v>
      </c>
      <c r="Q91" s="10" t="s">
        <v>175</v>
      </c>
      <c r="R91" s="10" t="s">
        <v>175</v>
      </c>
      <c r="S91" s="10" t="s">
        <v>175</v>
      </c>
      <c r="T91" s="10" t="s">
        <v>175</v>
      </c>
      <c r="U91" s="10" t="s">
        <v>175</v>
      </c>
      <c r="V91" s="10" t="s">
        <v>175</v>
      </c>
      <c r="W91" s="10" t="s">
        <v>175</v>
      </c>
      <c r="X91" s="10" t="s">
        <v>169</v>
      </c>
      <c r="Y91" s="10" t="s">
        <v>175</v>
      </c>
      <c r="Z91" s="10" t="s">
        <v>175</v>
      </c>
    </row>
    <row r="92" customFormat="false" ht="15" hidden="false" customHeight="true" outlineLevel="0" collapsed="false">
      <c r="A92" s="10" t="s">
        <v>637</v>
      </c>
      <c r="B92" s="10" t="s">
        <v>530</v>
      </c>
      <c r="C92" s="10" t="s">
        <v>631</v>
      </c>
      <c r="D92" s="10" t="s">
        <v>638</v>
      </c>
      <c r="E92" s="10" t="s">
        <v>156</v>
      </c>
      <c r="F92" s="10" t="s">
        <v>1102</v>
      </c>
      <c r="G92" s="10" t="s">
        <v>1133</v>
      </c>
      <c r="H92" s="10" t="s">
        <v>166</v>
      </c>
      <c r="I92" s="10" t="s">
        <v>51</v>
      </c>
      <c r="J92" s="10" t="s">
        <v>198</v>
      </c>
      <c r="K92" s="10" t="s">
        <v>198</v>
      </c>
      <c r="L92" s="10" t="s">
        <v>1104</v>
      </c>
      <c r="M92" s="10" t="s">
        <v>1129</v>
      </c>
      <c r="N92" s="10" t="s">
        <v>1109</v>
      </c>
      <c r="O92" s="10" t="s">
        <v>635</v>
      </c>
      <c r="P92" s="10" t="s">
        <v>175</v>
      </c>
      <c r="Q92" s="10" t="s">
        <v>175</v>
      </c>
      <c r="R92" s="10" t="s">
        <v>175</v>
      </c>
      <c r="S92" s="10" t="s">
        <v>175</v>
      </c>
      <c r="T92" s="10" t="s">
        <v>175</v>
      </c>
      <c r="U92" s="10" t="s">
        <v>175</v>
      </c>
      <c r="V92" s="10" t="s">
        <v>175</v>
      </c>
      <c r="W92" s="10" t="s">
        <v>175</v>
      </c>
      <c r="X92" s="10" t="s">
        <v>166</v>
      </c>
      <c r="Y92" s="10" t="s">
        <v>175</v>
      </c>
      <c r="Z92" s="10" t="s">
        <v>175</v>
      </c>
    </row>
    <row r="93" customFormat="false" ht="15" hidden="false" customHeight="true" outlineLevel="0" collapsed="false">
      <c r="A93" s="10" t="s">
        <v>641</v>
      </c>
      <c r="B93" s="10" t="s">
        <v>530</v>
      </c>
      <c r="C93" s="10" t="s">
        <v>631</v>
      </c>
      <c r="D93" s="10" t="s">
        <v>642</v>
      </c>
      <c r="E93" s="10" t="s">
        <v>643</v>
      </c>
      <c r="F93" s="10" t="s">
        <v>1102</v>
      </c>
      <c r="G93" s="10" t="s">
        <v>1133</v>
      </c>
      <c r="H93" s="10" t="s">
        <v>169</v>
      </c>
      <c r="I93" s="10" t="s">
        <v>51</v>
      </c>
      <c r="J93" s="10" t="s">
        <v>198</v>
      </c>
      <c r="K93" s="10" t="s">
        <v>198</v>
      </c>
      <c r="L93" s="10" t="s">
        <v>1104</v>
      </c>
      <c r="M93" s="10" t="s">
        <v>1129</v>
      </c>
      <c r="N93" s="10" t="s">
        <v>1106</v>
      </c>
      <c r="O93" s="10" t="s">
        <v>635</v>
      </c>
      <c r="P93" s="10" t="s">
        <v>175</v>
      </c>
      <c r="Q93" s="10" t="s">
        <v>175</v>
      </c>
      <c r="R93" s="10" t="s">
        <v>175</v>
      </c>
      <c r="S93" s="10" t="s">
        <v>175</v>
      </c>
      <c r="T93" s="10" t="s">
        <v>175</v>
      </c>
      <c r="U93" s="10" t="s">
        <v>169</v>
      </c>
      <c r="V93" s="10" t="s">
        <v>175</v>
      </c>
      <c r="W93" s="10" t="s">
        <v>175</v>
      </c>
      <c r="X93" s="10" t="s">
        <v>169</v>
      </c>
      <c r="Y93" s="10" t="s">
        <v>175</v>
      </c>
      <c r="Z93" s="10" t="s">
        <v>175</v>
      </c>
    </row>
    <row r="94" customFormat="false" ht="15" hidden="false" customHeight="true" outlineLevel="0" collapsed="false">
      <c r="A94" s="10" t="s">
        <v>647</v>
      </c>
      <c r="B94" s="10" t="s">
        <v>530</v>
      </c>
      <c r="C94" s="10" t="s">
        <v>631</v>
      </c>
      <c r="D94" s="10" t="s">
        <v>648</v>
      </c>
      <c r="E94" s="10" t="s">
        <v>211</v>
      </c>
      <c r="F94" s="10" t="s">
        <v>1102</v>
      </c>
      <c r="G94" s="10" t="s">
        <v>1133</v>
      </c>
      <c r="H94" s="10" t="s">
        <v>169</v>
      </c>
      <c r="I94" s="10" t="s">
        <v>51</v>
      </c>
      <c r="J94" s="10" t="s">
        <v>198</v>
      </c>
      <c r="K94" s="10" t="s">
        <v>198</v>
      </c>
      <c r="L94" s="10" t="s">
        <v>1104</v>
      </c>
      <c r="M94" s="10" t="s">
        <v>1129</v>
      </c>
      <c r="N94" s="10" t="s">
        <v>1106</v>
      </c>
      <c r="O94" s="10" t="s">
        <v>635</v>
      </c>
      <c r="P94" s="10" t="s">
        <v>175</v>
      </c>
      <c r="Q94" s="10" t="s">
        <v>175</v>
      </c>
      <c r="R94" s="10" t="s">
        <v>175</v>
      </c>
      <c r="S94" s="10" t="s">
        <v>175</v>
      </c>
      <c r="T94" s="10" t="s">
        <v>169</v>
      </c>
      <c r="U94" s="10" t="s">
        <v>175</v>
      </c>
      <c r="V94" s="10" t="s">
        <v>175</v>
      </c>
      <c r="W94" s="10" t="s">
        <v>175</v>
      </c>
      <c r="X94" s="10" t="s">
        <v>169</v>
      </c>
      <c r="Y94" s="10" t="s">
        <v>175</v>
      </c>
      <c r="Z94" s="10" t="s">
        <v>175</v>
      </c>
    </row>
    <row r="95" customFormat="false" ht="15" hidden="false" customHeight="true" outlineLevel="0" collapsed="false">
      <c r="A95" s="10" t="s">
        <v>651</v>
      </c>
      <c r="B95" s="10" t="s">
        <v>530</v>
      </c>
      <c r="C95" s="10" t="s">
        <v>631</v>
      </c>
      <c r="D95" s="10" t="s">
        <v>652</v>
      </c>
      <c r="E95" s="10" t="s">
        <v>156</v>
      </c>
      <c r="F95" s="10" t="s">
        <v>1102</v>
      </c>
      <c r="G95" s="10" t="s">
        <v>1133</v>
      </c>
      <c r="H95" s="10" t="s">
        <v>166</v>
      </c>
      <c r="I95" s="10" t="s">
        <v>51</v>
      </c>
      <c r="J95" s="10" t="s">
        <v>198</v>
      </c>
      <c r="K95" s="10" t="s">
        <v>198</v>
      </c>
      <c r="L95" s="10" t="s">
        <v>1104</v>
      </c>
      <c r="M95" s="10" t="s">
        <v>1129</v>
      </c>
      <c r="N95" s="10" t="s">
        <v>1109</v>
      </c>
      <c r="O95" s="10" t="s">
        <v>635</v>
      </c>
      <c r="P95" s="10" t="s">
        <v>175</v>
      </c>
      <c r="Q95" s="10" t="s">
        <v>175</v>
      </c>
      <c r="R95" s="10" t="s">
        <v>175</v>
      </c>
      <c r="S95" s="10" t="s">
        <v>175</v>
      </c>
      <c r="T95" s="10" t="s">
        <v>175</v>
      </c>
      <c r="U95" s="10" t="s">
        <v>175</v>
      </c>
      <c r="V95" s="10" t="s">
        <v>175</v>
      </c>
      <c r="W95" s="10" t="s">
        <v>175</v>
      </c>
      <c r="X95" s="10" t="s">
        <v>166</v>
      </c>
      <c r="Y95" s="10" t="s">
        <v>175</v>
      </c>
      <c r="Z95" s="10" t="s">
        <v>175</v>
      </c>
    </row>
    <row r="96" customFormat="false" ht="15" hidden="false" customHeight="true" outlineLevel="0" collapsed="false">
      <c r="A96" s="10" t="s">
        <v>655</v>
      </c>
      <c r="B96" s="10" t="s">
        <v>530</v>
      </c>
      <c r="C96" s="10" t="s">
        <v>631</v>
      </c>
      <c r="D96" s="10" t="s">
        <v>656</v>
      </c>
      <c r="E96" s="10" t="s">
        <v>409</v>
      </c>
      <c r="F96" s="10" t="s">
        <v>1102</v>
      </c>
      <c r="G96" s="10" t="s">
        <v>1134</v>
      </c>
      <c r="H96" s="10" t="s">
        <v>169</v>
      </c>
      <c r="I96" s="10" t="s">
        <v>51</v>
      </c>
      <c r="J96" s="10" t="s">
        <v>198</v>
      </c>
      <c r="K96" s="10" t="s">
        <v>198</v>
      </c>
      <c r="L96" s="10" t="s">
        <v>1104</v>
      </c>
      <c r="M96" s="10" t="s">
        <v>1129</v>
      </c>
      <c r="N96" s="10" t="s">
        <v>1106</v>
      </c>
      <c r="O96" s="10" t="s">
        <v>635</v>
      </c>
      <c r="P96" s="10" t="s">
        <v>175</v>
      </c>
      <c r="Q96" s="10" t="s">
        <v>175</v>
      </c>
      <c r="R96" s="10" t="s">
        <v>175</v>
      </c>
      <c r="S96" s="10" t="s">
        <v>175</v>
      </c>
      <c r="T96" s="10" t="s">
        <v>169</v>
      </c>
      <c r="U96" s="10" t="s">
        <v>169</v>
      </c>
      <c r="V96" s="10" t="s">
        <v>175</v>
      </c>
      <c r="W96" s="10" t="s">
        <v>175</v>
      </c>
      <c r="X96" s="10" t="s">
        <v>175</v>
      </c>
      <c r="Y96" s="10" t="s">
        <v>169</v>
      </c>
      <c r="Z96" s="10" t="s">
        <v>175</v>
      </c>
    </row>
    <row r="97" customFormat="false" ht="15" hidden="false" customHeight="true" outlineLevel="0" collapsed="false">
      <c r="A97" s="10" t="s">
        <v>659</v>
      </c>
      <c r="B97" s="10" t="s">
        <v>530</v>
      </c>
      <c r="C97" s="10" t="s">
        <v>631</v>
      </c>
      <c r="D97" s="10" t="s">
        <v>660</v>
      </c>
      <c r="E97" s="10" t="s">
        <v>643</v>
      </c>
      <c r="F97" s="10" t="s">
        <v>1102</v>
      </c>
      <c r="G97" s="10" t="s">
        <v>1133</v>
      </c>
      <c r="H97" s="10" t="s">
        <v>169</v>
      </c>
      <c r="I97" s="10" t="s">
        <v>51</v>
      </c>
      <c r="J97" s="10" t="s">
        <v>198</v>
      </c>
      <c r="K97" s="10" t="s">
        <v>198</v>
      </c>
      <c r="L97" s="10" t="s">
        <v>1104</v>
      </c>
      <c r="M97" s="10" t="s">
        <v>1129</v>
      </c>
      <c r="N97" s="10" t="s">
        <v>1106</v>
      </c>
      <c r="O97" s="10" t="s">
        <v>635</v>
      </c>
      <c r="P97" s="10" t="s">
        <v>175</v>
      </c>
      <c r="Q97" s="10" t="s">
        <v>175</v>
      </c>
      <c r="R97" s="10" t="s">
        <v>175</v>
      </c>
      <c r="S97" s="10" t="s">
        <v>175</v>
      </c>
      <c r="T97" s="10" t="s">
        <v>175</v>
      </c>
      <c r="U97" s="10" t="s">
        <v>169</v>
      </c>
      <c r="V97" s="10" t="s">
        <v>175</v>
      </c>
      <c r="W97" s="10" t="s">
        <v>175</v>
      </c>
      <c r="X97" s="10" t="s">
        <v>169</v>
      </c>
      <c r="Y97" s="10" t="s">
        <v>175</v>
      </c>
      <c r="Z97" s="10" t="s">
        <v>175</v>
      </c>
    </row>
    <row r="98" customFormat="false" ht="15" hidden="false" customHeight="true" outlineLevel="0" collapsed="false">
      <c r="A98" s="10" t="s">
        <v>663</v>
      </c>
      <c r="B98" s="10" t="s">
        <v>530</v>
      </c>
      <c r="C98" s="10" t="s">
        <v>631</v>
      </c>
      <c r="D98" s="10" t="s">
        <v>664</v>
      </c>
      <c r="E98" s="10" t="s">
        <v>665</v>
      </c>
      <c r="F98" s="10" t="s">
        <v>1102</v>
      </c>
      <c r="G98" s="10" t="s">
        <v>1134</v>
      </c>
      <c r="H98" s="10" t="s">
        <v>166</v>
      </c>
      <c r="I98" s="10" t="s">
        <v>51</v>
      </c>
      <c r="J98" s="10" t="s">
        <v>198</v>
      </c>
      <c r="K98" s="10" t="s">
        <v>198</v>
      </c>
      <c r="L98" s="10" t="s">
        <v>1104</v>
      </c>
      <c r="M98" s="10" t="s">
        <v>1129</v>
      </c>
      <c r="N98" s="10" t="s">
        <v>1109</v>
      </c>
      <c r="O98" s="10" t="s">
        <v>635</v>
      </c>
      <c r="P98" s="10" t="s">
        <v>175</v>
      </c>
      <c r="Q98" s="10" t="s">
        <v>175</v>
      </c>
      <c r="R98" s="10" t="s">
        <v>175</v>
      </c>
      <c r="S98" s="10" t="s">
        <v>166</v>
      </c>
      <c r="T98" s="10" t="s">
        <v>166</v>
      </c>
      <c r="U98" s="10" t="s">
        <v>175</v>
      </c>
      <c r="V98" s="10" t="s">
        <v>175</v>
      </c>
      <c r="W98" s="10" t="s">
        <v>175</v>
      </c>
      <c r="X98" s="10" t="s">
        <v>175</v>
      </c>
      <c r="Y98" s="10" t="s">
        <v>175</v>
      </c>
      <c r="Z98" s="10" t="s">
        <v>175</v>
      </c>
    </row>
    <row r="99" customFormat="false" ht="15" hidden="false" customHeight="true" outlineLevel="0" collapsed="false">
      <c r="A99" s="10" t="s">
        <v>669</v>
      </c>
      <c r="B99" s="10" t="s">
        <v>530</v>
      </c>
      <c r="C99" s="10" t="s">
        <v>631</v>
      </c>
      <c r="D99" s="10" t="s">
        <v>670</v>
      </c>
      <c r="E99" s="10" t="s">
        <v>665</v>
      </c>
      <c r="F99" s="10" t="s">
        <v>1102</v>
      </c>
      <c r="G99" s="10" t="s">
        <v>1134</v>
      </c>
      <c r="H99" s="10" t="s">
        <v>166</v>
      </c>
      <c r="I99" s="10" t="s">
        <v>51</v>
      </c>
      <c r="J99" s="10" t="s">
        <v>198</v>
      </c>
      <c r="K99" s="10" t="s">
        <v>198</v>
      </c>
      <c r="L99" s="10" t="s">
        <v>1104</v>
      </c>
      <c r="M99" s="10" t="s">
        <v>1129</v>
      </c>
      <c r="N99" s="10" t="s">
        <v>1109</v>
      </c>
      <c r="O99" s="10" t="s">
        <v>635</v>
      </c>
      <c r="P99" s="10" t="s">
        <v>175</v>
      </c>
      <c r="Q99" s="10" t="s">
        <v>175</v>
      </c>
      <c r="R99" s="10" t="s">
        <v>175</v>
      </c>
      <c r="S99" s="10" t="s">
        <v>166</v>
      </c>
      <c r="T99" s="10" t="s">
        <v>166</v>
      </c>
      <c r="U99" s="10" t="s">
        <v>175</v>
      </c>
      <c r="V99" s="10" t="s">
        <v>175</v>
      </c>
      <c r="W99" s="10" t="s">
        <v>175</v>
      </c>
      <c r="X99" s="10" t="s">
        <v>175</v>
      </c>
      <c r="Y99" s="10" t="s">
        <v>175</v>
      </c>
      <c r="Z99" s="10" t="s">
        <v>175</v>
      </c>
    </row>
    <row r="100" customFormat="false" ht="15" hidden="false" customHeight="true" outlineLevel="0" collapsed="false">
      <c r="A100" s="10" t="s">
        <v>673</v>
      </c>
      <c r="B100" s="10" t="s">
        <v>530</v>
      </c>
      <c r="C100" s="10" t="s">
        <v>631</v>
      </c>
      <c r="D100" s="10" t="s">
        <v>674</v>
      </c>
      <c r="E100" s="10" t="s">
        <v>665</v>
      </c>
      <c r="F100" s="10" t="s">
        <v>1102</v>
      </c>
      <c r="G100" s="10" t="s">
        <v>1134</v>
      </c>
      <c r="H100" s="10" t="s">
        <v>166</v>
      </c>
      <c r="I100" s="10" t="s">
        <v>62</v>
      </c>
      <c r="J100" s="10" t="s">
        <v>198</v>
      </c>
      <c r="K100" s="10" t="s">
        <v>198</v>
      </c>
      <c r="L100" s="10" t="s">
        <v>1104</v>
      </c>
      <c r="M100" s="10" t="s">
        <v>1129</v>
      </c>
      <c r="N100" s="10" t="s">
        <v>1109</v>
      </c>
      <c r="O100" s="10" t="s">
        <v>635</v>
      </c>
      <c r="P100" s="10" t="s">
        <v>175</v>
      </c>
      <c r="Q100" s="10" t="s">
        <v>175</v>
      </c>
      <c r="R100" s="10" t="s">
        <v>175</v>
      </c>
      <c r="S100" s="10" t="s">
        <v>166</v>
      </c>
      <c r="T100" s="10" t="s">
        <v>166</v>
      </c>
      <c r="U100" s="10" t="s">
        <v>175</v>
      </c>
      <c r="V100" s="10" t="s">
        <v>175</v>
      </c>
      <c r="W100" s="10" t="s">
        <v>175</v>
      </c>
      <c r="X100" s="10" t="s">
        <v>175</v>
      </c>
      <c r="Y100" s="10" t="s">
        <v>175</v>
      </c>
      <c r="Z100" s="10" t="s">
        <v>175</v>
      </c>
    </row>
    <row r="101" customFormat="false" ht="15" hidden="false" customHeight="true" outlineLevel="0" collapsed="false">
      <c r="A101" s="10" t="s">
        <v>677</v>
      </c>
      <c r="B101" s="10" t="s">
        <v>530</v>
      </c>
      <c r="C101" s="10" t="s">
        <v>631</v>
      </c>
      <c r="D101" s="10" t="s">
        <v>678</v>
      </c>
      <c r="E101" s="10" t="s">
        <v>679</v>
      </c>
      <c r="F101" s="10" t="s">
        <v>1102</v>
      </c>
      <c r="G101" s="10" t="s">
        <v>1134</v>
      </c>
      <c r="H101" s="10" t="s">
        <v>169</v>
      </c>
      <c r="I101" s="10" t="s">
        <v>51</v>
      </c>
      <c r="J101" s="10" t="s">
        <v>198</v>
      </c>
      <c r="K101" s="10" t="s">
        <v>198</v>
      </c>
      <c r="L101" s="10" t="s">
        <v>1104</v>
      </c>
      <c r="M101" s="10" t="s">
        <v>1129</v>
      </c>
      <c r="N101" s="10" t="s">
        <v>1106</v>
      </c>
      <c r="O101" s="10" t="s">
        <v>635</v>
      </c>
      <c r="P101" s="10" t="s">
        <v>175</v>
      </c>
      <c r="Q101" s="10" t="s">
        <v>175</v>
      </c>
      <c r="R101" s="10" t="s">
        <v>175</v>
      </c>
      <c r="S101" s="10" t="s">
        <v>169</v>
      </c>
      <c r="T101" s="10" t="s">
        <v>175</v>
      </c>
      <c r="U101" s="10" t="s">
        <v>175</v>
      </c>
      <c r="V101" s="10" t="s">
        <v>175</v>
      </c>
      <c r="W101" s="10" t="s">
        <v>175</v>
      </c>
      <c r="X101" s="10" t="s">
        <v>175</v>
      </c>
      <c r="Y101" s="10" t="s">
        <v>169</v>
      </c>
      <c r="Z101" s="10" t="s">
        <v>175</v>
      </c>
    </row>
    <row r="102" customFormat="false" ht="15" hidden="false" customHeight="true" outlineLevel="0" collapsed="false">
      <c r="A102" s="10" t="s">
        <v>683</v>
      </c>
      <c r="B102" s="10" t="s">
        <v>530</v>
      </c>
      <c r="C102" s="10" t="s">
        <v>631</v>
      </c>
      <c r="D102" s="10" t="s">
        <v>684</v>
      </c>
      <c r="E102" s="10" t="s">
        <v>444</v>
      </c>
      <c r="F102" s="10" t="s">
        <v>1102</v>
      </c>
      <c r="G102" s="10" t="s">
        <v>1135</v>
      </c>
      <c r="H102" s="10" t="s">
        <v>169</v>
      </c>
      <c r="I102" s="10" t="s">
        <v>51</v>
      </c>
      <c r="J102" s="10" t="s">
        <v>198</v>
      </c>
      <c r="K102" s="10" t="s">
        <v>198</v>
      </c>
      <c r="L102" s="10" t="s">
        <v>1104</v>
      </c>
      <c r="M102" s="10" t="s">
        <v>1129</v>
      </c>
      <c r="N102" s="10" t="s">
        <v>1106</v>
      </c>
      <c r="O102" s="10" t="s">
        <v>635</v>
      </c>
      <c r="P102" s="10" t="s">
        <v>175</v>
      </c>
      <c r="Q102" s="10" t="s">
        <v>175</v>
      </c>
      <c r="R102" s="10" t="s">
        <v>175</v>
      </c>
      <c r="S102" s="10" t="s">
        <v>175</v>
      </c>
      <c r="T102" s="10" t="s">
        <v>175</v>
      </c>
      <c r="U102" s="10" t="s">
        <v>169</v>
      </c>
      <c r="V102" s="10" t="s">
        <v>175</v>
      </c>
      <c r="W102" s="10" t="s">
        <v>175</v>
      </c>
      <c r="X102" s="10" t="s">
        <v>175</v>
      </c>
      <c r="Y102" s="10" t="s">
        <v>169</v>
      </c>
      <c r="Z102" s="10" t="s">
        <v>175</v>
      </c>
    </row>
    <row r="103" customFormat="false" ht="15" hidden="false" customHeight="true" outlineLevel="0" collapsed="false">
      <c r="A103" s="10" t="s">
        <v>687</v>
      </c>
      <c r="B103" s="10" t="s">
        <v>530</v>
      </c>
      <c r="C103" s="10" t="s">
        <v>631</v>
      </c>
      <c r="D103" s="10" t="s">
        <v>563</v>
      </c>
      <c r="E103" s="10" t="s">
        <v>444</v>
      </c>
      <c r="F103" s="10" t="s">
        <v>1102</v>
      </c>
      <c r="G103" s="10" t="s">
        <v>1135</v>
      </c>
      <c r="H103" s="10" t="s">
        <v>169</v>
      </c>
      <c r="I103" s="10" t="s">
        <v>51</v>
      </c>
      <c r="J103" s="10" t="s">
        <v>198</v>
      </c>
      <c r="K103" s="10" t="s">
        <v>198</v>
      </c>
      <c r="L103" s="10" t="s">
        <v>1104</v>
      </c>
      <c r="M103" s="10" t="s">
        <v>1129</v>
      </c>
      <c r="N103" s="10" t="s">
        <v>1106</v>
      </c>
      <c r="O103" s="10" t="s">
        <v>635</v>
      </c>
      <c r="P103" s="10" t="s">
        <v>175</v>
      </c>
      <c r="Q103" s="10" t="s">
        <v>175</v>
      </c>
      <c r="R103" s="10" t="s">
        <v>175</v>
      </c>
      <c r="S103" s="10" t="s">
        <v>175</v>
      </c>
      <c r="T103" s="10" t="s">
        <v>175</v>
      </c>
      <c r="U103" s="10" t="s">
        <v>169</v>
      </c>
      <c r="V103" s="10" t="s">
        <v>175</v>
      </c>
      <c r="W103" s="10" t="s">
        <v>175</v>
      </c>
      <c r="X103" s="10" t="s">
        <v>175</v>
      </c>
      <c r="Y103" s="10" t="s">
        <v>169</v>
      </c>
      <c r="Z103" s="10" t="s">
        <v>175</v>
      </c>
    </row>
    <row r="104" customFormat="false" ht="15" hidden="false" customHeight="true" outlineLevel="0" collapsed="false">
      <c r="A104" s="10" t="s">
        <v>690</v>
      </c>
      <c r="B104" s="10" t="s">
        <v>530</v>
      </c>
      <c r="C104" s="10" t="s">
        <v>631</v>
      </c>
      <c r="D104" s="10" t="s">
        <v>566</v>
      </c>
      <c r="E104" s="10" t="s">
        <v>156</v>
      </c>
      <c r="F104" s="10" t="s">
        <v>1102</v>
      </c>
      <c r="G104" s="10" t="s">
        <v>1133</v>
      </c>
      <c r="H104" s="10" t="s">
        <v>169</v>
      </c>
      <c r="I104" s="10" t="s">
        <v>51</v>
      </c>
      <c r="J104" s="10" t="s">
        <v>198</v>
      </c>
      <c r="K104" s="10" t="s">
        <v>198</v>
      </c>
      <c r="L104" s="10" t="s">
        <v>1104</v>
      </c>
      <c r="M104" s="10" t="s">
        <v>1129</v>
      </c>
      <c r="N104" s="10" t="s">
        <v>1106</v>
      </c>
      <c r="O104" s="10" t="s">
        <v>635</v>
      </c>
      <c r="P104" s="10" t="s">
        <v>175</v>
      </c>
      <c r="Q104" s="10" t="s">
        <v>175</v>
      </c>
      <c r="R104" s="10" t="s">
        <v>175</v>
      </c>
      <c r="S104" s="10" t="s">
        <v>175</v>
      </c>
      <c r="T104" s="10" t="s">
        <v>175</v>
      </c>
      <c r="U104" s="10" t="s">
        <v>175</v>
      </c>
      <c r="V104" s="10" t="s">
        <v>175</v>
      </c>
      <c r="W104" s="10" t="s">
        <v>175</v>
      </c>
      <c r="X104" s="10" t="s">
        <v>169</v>
      </c>
      <c r="Y104" s="10" t="s">
        <v>175</v>
      </c>
      <c r="Z104" s="10" t="s">
        <v>175</v>
      </c>
    </row>
    <row r="105" customFormat="false" ht="15" hidden="false" customHeight="true" outlineLevel="0" collapsed="false">
      <c r="A105" s="10" t="s">
        <v>693</v>
      </c>
      <c r="B105" s="10" t="s">
        <v>389</v>
      </c>
      <c r="C105" s="10" t="s">
        <v>694</v>
      </c>
      <c r="D105" s="10" t="s">
        <v>695</v>
      </c>
      <c r="E105" s="10" t="s">
        <v>581</v>
      </c>
      <c r="F105" s="10" t="s">
        <v>1102</v>
      </c>
      <c r="G105" s="10" t="s">
        <v>1136</v>
      </c>
      <c r="H105" s="10" t="s">
        <v>166</v>
      </c>
      <c r="I105" s="10" t="s">
        <v>51</v>
      </c>
      <c r="J105" s="10" t="s">
        <v>198</v>
      </c>
      <c r="K105" s="10" t="s">
        <v>198</v>
      </c>
      <c r="L105" s="10" t="s">
        <v>1104</v>
      </c>
      <c r="M105" s="10" t="s">
        <v>1121</v>
      </c>
      <c r="N105" s="10" t="s">
        <v>1109</v>
      </c>
      <c r="O105" s="10" t="s">
        <v>697</v>
      </c>
      <c r="P105" s="10" t="s">
        <v>166</v>
      </c>
      <c r="Q105" s="10" t="s">
        <v>175</v>
      </c>
      <c r="R105" s="10" t="s">
        <v>175</v>
      </c>
      <c r="S105" s="10" t="s">
        <v>166</v>
      </c>
      <c r="T105" s="10" t="s">
        <v>166</v>
      </c>
      <c r="U105" s="10" t="s">
        <v>175</v>
      </c>
      <c r="V105" s="10" t="s">
        <v>175</v>
      </c>
      <c r="W105" s="10" t="s">
        <v>175</v>
      </c>
      <c r="X105" s="10" t="s">
        <v>175</v>
      </c>
      <c r="Y105" s="10" t="s">
        <v>175</v>
      </c>
      <c r="Z105" s="10" t="s">
        <v>175</v>
      </c>
    </row>
    <row r="106" customFormat="false" ht="15" hidden="false" customHeight="true" outlineLevel="0" collapsed="false">
      <c r="A106" s="10" t="s">
        <v>699</v>
      </c>
      <c r="B106" s="10" t="s">
        <v>389</v>
      </c>
      <c r="C106" s="10" t="s">
        <v>694</v>
      </c>
      <c r="D106" s="10" t="s">
        <v>700</v>
      </c>
      <c r="E106" s="10" t="s">
        <v>701</v>
      </c>
      <c r="F106" s="10" t="s">
        <v>1102</v>
      </c>
      <c r="G106" s="10" t="s">
        <v>1136</v>
      </c>
      <c r="H106" s="10" t="s">
        <v>169</v>
      </c>
      <c r="I106" s="10" t="s">
        <v>51</v>
      </c>
      <c r="J106" s="10" t="s">
        <v>198</v>
      </c>
      <c r="K106" s="10" t="s">
        <v>198</v>
      </c>
      <c r="L106" s="10" t="s">
        <v>1104</v>
      </c>
      <c r="M106" s="10" t="s">
        <v>1121</v>
      </c>
      <c r="N106" s="10" t="s">
        <v>1106</v>
      </c>
      <c r="O106" s="10" t="s">
        <v>697</v>
      </c>
      <c r="P106" s="10" t="s">
        <v>175</v>
      </c>
      <c r="Q106" s="10" t="s">
        <v>169</v>
      </c>
      <c r="R106" s="10" t="s">
        <v>175</v>
      </c>
      <c r="S106" s="10" t="s">
        <v>169</v>
      </c>
      <c r="T106" s="10" t="s">
        <v>169</v>
      </c>
      <c r="U106" s="10" t="s">
        <v>175</v>
      </c>
      <c r="V106" s="10" t="s">
        <v>175</v>
      </c>
      <c r="W106" s="10" t="s">
        <v>175</v>
      </c>
      <c r="X106" s="10" t="s">
        <v>175</v>
      </c>
      <c r="Y106" s="10" t="s">
        <v>175</v>
      </c>
      <c r="Z106" s="10" t="s">
        <v>175</v>
      </c>
    </row>
    <row r="107" customFormat="false" ht="15" hidden="false" customHeight="true" outlineLevel="0" collapsed="false">
      <c r="A107" s="10" t="s">
        <v>705</v>
      </c>
      <c r="B107" s="10" t="s">
        <v>389</v>
      </c>
      <c r="C107" s="10" t="s">
        <v>694</v>
      </c>
      <c r="D107" s="10" t="s">
        <v>706</v>
      </c>
      <c r="E107" s="10" t="s">
        <v>707</v>
      </c>
      <c r="F107" s="10" t="s">
        <v>1102</v>
      </c>
      <c r="G107" s="10" t="s">
        <v>1136</v>
      </c>
      <c r="H107" s="10" t="s">
        <v>169</v>
      </c>
      <c r="I107" s="10" t="s">
        <v>51</v>
      </c>
      <c r="J107" s="10" t="s">
        <v>1108</v>
      </c>
      <c r="K107" s="10" t="s">
        <v>708</v>
      </c>
      <c r="L107" s="10" t="s">
        <v>1104</v>
      </c>
      <c r="M107" s="10" t="s">
        <v>1121</v>
      </c>
      <c r="N107" s="10" t="s">
        <v>1106</v>
      </c>
      <c r="O107" s="10" t="s">
        <v>697</v>
      </c>
      <c r="P107" s="10" t="s">
        <v>175</v>
      </c>
      <c r="Q107" s="10" t="s">
        <v>175</v>
      </c>
      <c r="R107" s="10" t="s">
        <v>175</v>
      </c>
      <c r="S107" s="10" t="s">
        <v>169</v>
      </c>
      <c r="T107" s="10" t="s">
        <v>169</v>
      </c>
      <c r="U107" s="10" t="s">
        <v>175</v>
      </c>
      <c r="V107" s="10" t="s">
        <v>175</v>
      </c>
      <c r="W107" s="10" t="s">
        <v>175</v>
      </c>
      <c r="X107" s="10" t="s">
        <v>175</v>
      </c>
      <c r="Y107" s="10" t="s">
        <v>169</v>
      </c>
      <c r="Z107" s="10" t="s">
        <v>175</v>
      </c>
    </row>
    <row r="108" customFormat="false" ht="15" hidden="false" customHeight="true" outlineLevel="0" collapsed="false">
      <c r="A108" s="10" t="s">
        <v>712</v>
      </c>
      <c r="B108" s="10" t="s">
        <v>389</v>
      </c>
      <c r="C108" s="10" t="s">
        <v>694</v>
      </c>
      <c r="D108" s="10" t="s">
        <v>713</v>
      </c>
      <c r="E108" s="10" t="s">
        <v>161</v>
      </c>
      <c r="F108" s="10" t="s">
        <v>1102</v>
      </c>
      <c r="G108" s="10" t="s">
        <v>1137</v>
      </c>
      <c r="H108" s="10" t="s">
        <v>172</v>
      </c>
      <c r="I108" s="10" t="s">
        <v>51</v>
      </c>
      <c r="J108" s="10" t="s">
        <v>198</v>
      </c>
      <c r="K108" s="10" t="s">
        <v>198</v>
      </c>
      <c r="L108" s="10" t="s">
        <v>1104</v>
      </c>
      <c r="M108" s="10" t="s">
        <v>1121</v>
      </c>
      <c r="N108" s="10" t="s">
        <v>1123</v>
      </c>
      <c r="O108" s="10" t="s">
        <v>697</v>
      </c>
      <c r="P108" s="10" t="s">
        <v>175</v>
      </c>
      <c r="Q108" s="10" t="s">
        <v>175</v>
      </c>
      <c r="R108" s="10" t="s">
        <v>175</v>
      </c>
      <c r="S108" s="10" t="s">
        <v>175</v>
      </c>
      <c r="T108" s="10" t="s">
        <v>175</v>
      </c>
      <c r="U108" s="10" t="s">
        <v>175</v>
      </c>
      <c r="V108" s="10" t="s">
        <v>175</v>
      </c>
      <c r="W108" s="10" t="s">
        <v>175</v>
      </c>
      <c r="X108" s="10" t="s">
        <v>175</v>
      </c>
      <c r="Y108" s="10" t="s">
        <v>175</v>
      </c>
      <c r="Z108" s="10" t="s">
        <v>172</v>
      </c>
    </row>
    <row r="109" customFormat="false" ht="15" hidden="false" customHeight="true" outlineLevel="0" collapsed="false">
      <c r="A109" s="10" t="s">
        <v>716</v>
      </c>
      <c r="B109" s="10" t="s">
        <v>389</v>
      </c>
      <c r="C109" s="10" t="s">
        <v>694</v>
      </c>
      <c r="D109" s="10" t="s">
        <v>717</v>
      </c>
      <c r="E109" s="10" t="s">
        <v>244</v>
      </c>
      <c r="F109" s="10" t="s">
        <v>1102</v>
      </c>
      <c r="G109" s="10" t="s">
        <v>1136</v>
      </c>
      <c r="H109" s="10" t="s">
        <v>169</v>
      </c>
      <c r="I109" s="10" t="s">
        <v>51</v>
      </c>
      <c r="J109" s="10" t="s">
        <v>198</v>
      </c>
      <c r="K109" s="10" t="s">
        <v>198</v>
      </c>
      <c r="L109" s="10" t="s">
        <v>1104</v>
      </c>
      <c r="M109" s="10" t="s">
        <v>1121</v>
      </c>
      <c r="N109" s="10" t="s">
        <v>1106</v>
      </c>
      <c r="O109" s="10" t="s">
        <v>697</v>
      </c>
      <c r="P109" s="10" t="s">
        <v>175</v>
      </c>
      <c r="Q109" s="10" t="s">
        <v>175</v>
      </c>
      <c r="R109" s="10" t="s">
        <v>175</v>
      </c>
      <c r="S109" s="10" t="s">
        <v>175</v>
      </c>
      <c r="T109" s="10" t="s">
        <v>169</v>
      </c>
      <c r="U109" s="10" t="s">
        <v>175</v>
      </c>
      <c r="V109" s="10" t="s">
        <v>175</v>
      </c>
      <c r="W109" s="10" t="s">
        <v>169</v>
      </c>
      <c r="X109" s="10" t="s">
        <v>169</v>
      </c>
      <c r="Y109" s="10" t="s">
        <v>175</v>
      </c>
      <c r="Z109" s="10" t="s">
        <v>175</v>
      </c>
    </row>
    <row r="110" customFormat="false" ht="15" hidden="false" customHeight="true" outlineLevel="0" collapsed="false">
      <c r="A110" s="10" t="s">
        <v>720</v>
      </c>
      <c r="B110" s="10" t="s">
        <v>389</v>
      </c>
      <c r="C110" s="10" t="s">
        <v>694</v>
      </c>
      <c r="D110" s="10" t="s">
        <v>721</v>
      </c>
      <c r="E110" s="10" t="s">
        <v>519</v>
      </c>
      <c r="F110" s="10" t="s">
        <v>1102</v>
      </c>
      <c r="G110" s="10" t="s">
        <v>1136</v>
      </c>
      <c r="H110" s="10" t="s">
        <v>169</v>
      </c>
      <c r="I110" s="10" t="s">
        <v>51</v>
      </c>
      <c r="J110" s="10" t="s">
        <v>198</v>
      </c>
      <c r="K110" s="10" t="s">
        <v>198</v>
      </c>
      <c r="L110" s="10" t="s">
        <v>1104</v>
      </c>
      <c r="M110" s="10" t="s">
        <v>1121</v>
      </c>
      <c r="N110" s="10" t="s">
        <v>1106</v>
      </c>
      <c r="O110" s="10" t="s">
        <v>697</v>
      </c>
      <c r="P110" s="10" t="s">
        <v>175</v>
      </c>
      <c r="Q110" s="10" t="s">
        <v>175</v>
      </c>
      <c r="R110" s="10" t="s">
        <v>175</v>
      </c>
      <c r="S110" s="10" t="s">
        <v>175</v>
      </c>
      <c r="T110" s="10" t="s">
        <v>169</v>
      </c>
      <c r="U110" s="10" t="s">
        <v>169</v>
      </c>
      <c r="V110" s="10" t="s">
        <v>175</v>
      </c>
      <c r="W110" s="10" t="s">
        <v>175</v>
      </c>
      <c r="X110" s="10" t="s">
        <v>169</v>
      </c>
      <c r="Y110" s="10" t="s">
        <v>175</v>
      </c>
      <c r="Z110" s="10" t="s">
        <v>175</v>
      </c>
    </row>
    <row r="111" customFormat="false" ht="15" hidden="false" customHeight="true" outlineLevel="0" collapsed="false">
      <c r="A111" s="10" t="s">
        <v>724</v>
      </c>
      <c r="B111" s="10" t="s">
        <v>389</v>
      </c>
      <c r="C111" s="10" t="s">
        <v>694</v>
      </c>
      <c r="D111" s="10" t="s">
        <v>725</v>
      </c>
      <c r="E111" s="10" t="s">
        <v>493</v>
      </c>
      <c r="F111" s="10" t="s">
        <v>1102</v>
      </c>
      <c r="G111" s="10" t="s">
        <v>1138</v>
      </c>
      <c r="H111" s="10" t="s">
        <v>169</v>
      </c>
      <c r="I111" s="10" t="s">
        <v>51</v>
      </c>
      <c r="J111" s="10" t="s">
        <v>1108</v>
      </c>
      <c r="K111" s="10" t="s">
        <v>726</v>
      </c>
      <c r="L111" s="10" t="s">
        <v>1104</v>
      </c>
      <c r="M111" s="10" t="s">
        <v>1126</v>
      </c>
      <c r="N111" s="10" t="s">
        <v>1106</v>
      </c>
      <c r="O111" s="10" t="s">
        <v>697</v>
      </c>
      <c r="P111" s="10" t="s">
        <v>175</v>
      </c>
      <c r="Q111" s="10" t="s">
        <v>169</v>
      </c>
      <c r="R111" s="10" t="s">
        <v>175</v>
      </c>
      <c r="S111" s="10" t="s">
        <v>175</v>
      </c>
      <c r="T111" s="10" t="s">
        <v>169</v>
      </c>
      <c r="U111" s="10" t="s">
        <v>175</v>
      </c>
      <c r="V111" s="10" t="s">
        <v>175</v>
      </c>
      <c r="W111" s="10" t="s">
        <v>169</v>
      </c>
      <c r="X111" s="10" t="s">
        <v>169</v>
      </c>
      <c r="Y111" s="10" t="s">
        <v>175</v>
      </c>
      <c r="Z111" s="10" t="s">
        <v>175</v>
      </c>
    </row>
    <row r="112" customFormat="false" ht="15" hidden="false" customHeight="true" outlineLevel="0" collapsed="false">
      <c r="A112" s="10" t="s">
        <v>729</v>
      </c>
      <c r="B112" s="10" t="s">
        <v>389</v>
      </c>
      <c r="C112" s="10" t="s">
        <v>694</v>
      </c>
      <c r="D112" s="10" t="s">
        <v>730</v>
      </c>
      <c r="E112" s="10" t="s">
        <v>158</v>
      </c>
      <c r="F112" s="10" t="s">
        <v>1102</v>
      </c>
      <c r="G112" s="10" t="s">
        <v>1139</v>
      </c>
      <c r="H112" s="10" t="s">
        <v>169</v>
      </c>
      <c r="I112" s="10" t="s">
        <v>51</v>
      </c>
      <c r="J112" s="10" t="s">
        <v>1111</v>
      </c>
      <c r="K112" s="10" t="s">
        <v>731</v>
      </c>
      <c r="L112" s="10" t="s">
        <v>1104</v>
      </c>
      <c r="M112" s="10" t="s">
        <v>1121</v>
      </c>
      <c r="N112" s="10" t="s">
        <v>1106</v>
      </c>
      <c r="O112" s="10" t="s">
        <v>697</v>
      </c>
      <c r="P112" s="10" t="s">
        <v>175</v>
      </c>
      <c r="Q112" s="10" t="s">
        <v>175</v>
      </c>
      <c r="R112" s="10" t="s">
        <v>175</v>
      </c>
      <c r="S112" s="10" t="s">
        <v>175</v>
      </c>
      <c r="T112" s="10" t="s">
        <v>175</v>
      </c>
      <c r="U112" s="10" t="s">
        <v>175</v>
      </c>
      <c r="V112" s="10" t="s">
        <v>175</v>
      </c>
      <c r="W112" s="10" t="s">
        <v>175</v>
      </c>
      <c r="X112" s="10" t="s">
        <v>175</v>
      </c>
      <c r="Y112" s="10" t="s">
        <v>169</v>
      </c>
      <c r="Z112" s="10" t="s">
        <v>175</v>
      </c>
    </row>
    <row r="113" customFormat="false" ht="15" hidden="false" customHeight="true" outlineLevel="0" collapsed="false">
      <c r="A113" s="10" t="s">
        <v>734</v>
      </c>
      <c r="B113" s="10" t="s">
        <v>389</v>
      </c>
      <c r="C113" s="10" t="s">
        <v>694</v>
      </c>
      <c r="D113" s="10" t="s">
        <v>735</v>
      </c>
      <c r="E113" s="10" t="s">
        <v>158</v>
      </c>
      <c r="F113" s="10" t="s">
        <v>1102</v>
      </c>
      <c r="G113" s="10" t="s">
        <v>1137</v>
      </c>
      <c r="H113" s="10" t="s">
        <v>169</v>
      </c>
      <c r="I113" s="10" t="s">
        <v>51</v>
      </c>
      <c r="J113" s="10" t="s">
        <v>1108</v>
      </c>
      <c r="K113" s="10" t="s">
        <v>736</v>
      </c>
      <c r="L113" s="10" t="s">
        <v>1104</v>
      </c>
      <c r="M113" s="10" t="s">
        <v>1121</v>
      </c>
      <c r="N113" s="10" t="s">
        <v>1106</v>
      </c>
      <c r="O113" s="10" t="s">
        <v>697</v>
      </c>
      <c r="P113" s="10" t="s">
        <v>175</v>
      </c>
      <c r="Q113" s="10" t="s">
        <v>175</v>
      </c>
      <c r="R113" s="10" t="s">
        <v>175</v>
      </c>
      <c r="S113" s="10" t="s">
        <v>175</v>
      </c>
      <c r="T113" s="10" t="s">
        <v>175</v>
      </c>
      <c r="U113" s="10" t="s">
        <v>175</v>
      </c>
      <c r="V113" s="10" t="s">
        <v>175</v>
      </c>
      <c r="W113" s="10" t="s">
        <v>175</v>
      </c>
      <c r="X113" s="10" t="s">
        <v>175</v>
      </c>
      <c r="Y113" s="10" t="s">
        <v>169</v>
      </c>
      <c r="Z113" s="10" t="s">
        <v>175</v>
      </c>
    </row>
    <row r="114" customFormat="false" ht="15" hidden="false" customHeight="true" outlineLevel="0" collapsed="false">
      <c r="A114" s="10" t="s">
        <v>738</v>
      </c>
      <c r="B114" s="10" t="s">
        <v>389</v>
      </c>
      <c r="C114" s="10" t="s">
        <v>694</v>
      </c>
      <c r="D114" s="10" t="s">
        <v>739</v>
      </c>
      <c r="E114" s="10" t="s">
        <v>592</v>
      </c>
      <c r="F114" s="10" t="s">
        <v>1102</v>
      </c>
      <c r="G114" s="10" t="s">
        <v>1136</v>
      </c>
      <c r="H114" s="10" t="s">
        <v>169</v>
      </c>
      <c r="I114" s="10" t="s">
        <v>51</v>
      </c>
      <c r="J114" s="10" t="s">
        <v>198</v>
      </c>
      <c r="K114" s="10" t="s">
        <v>198</v>
      </c>
      <c r="L114" s="10" t="s">
        <v>1104</v>
      </c>
      <c r="M114" s="10" t="s">
        <v>1121</v>
      </c>
      <c r="N114" s="10" t="s">
        <v>1106</v>
      </c>
      <c r="O114" s="10" t="s">
        <v>697</v>
      </c>
      <c r="P114" s="10" t="s">
        <v>175</v>
      </c>
      <c r="Q114" s="10" t="s">
        <v>175</v>
      </c>
      <c r="R114" s="10" t="s">
        <v>175</v>
      </c>
      <c r="S114" s="10" t="s">
        <v>169</v>
      </c>
      <c r="T114" s="10" t="s">
        <v>175</v>
      </c>
      <c r="U114" s="10" t="s">
        <v>169</v>
      </c>
      <c r="V114" s="10" t="s">
        <v>175</v>
      </c>
      <c r="W114" s="10" t="s">
        <v>175</v>
      </c>
      <c r="X114" s="10" t="s">
        <v>175</v>
      </c>
      <c r="Y114" s="10" t="s">
        <v>175</v>
      </c>
      <c r="Z114" s="10" t="s">
        <v>175</v>
      </c>
    </row>
    <row r="115" customFormat="false" ht="15" hidden="false" customHeight="true" outlineLevel="0" collapsed="false">
      <c r="A115" s="10" t="s">
        <v>741</v>
      </c>
      <c r="B115" s="10" t="s">
        <v>389</v>
      </c>
      <c r="C115" s="10" t="s">
        <v>694</v>
      </c>
      <c r="D115" s="10" t="s">
        <v>742</v>
      </c>
      <c r="E115" s="10" t="s">
        <v>161</v>
      </c>
      <c r="F115" s="10" t="s">
        <v>1102</v>
      </c>
      <c r="G115" s="10" t="s">
        <v>1137</v>
      </c>
      <c r="H115" s="10" t="s">
        <v>172</v>
      </c>
      <c r="I115" s="10" t="s">
        <v>51</v>
      </c>
      <c r="J115" s="10" t="s">
        <v>198</v>
      </c>
      <c r="K115" s="10" t="s">
        <v>198</v>
      </c>
      <c r="L115" s="10" t="s">
        <v>1104</v>
      </c>
      <c r="M115" s="10" t="s">
        <v>1121</v>
      </c>
      <c r="N115" s="10" t="s">
        <v>1123</v>
      </c>
      <c r="O115" s="10" t="s">
        <v>697</v>
      </c>
      <c r="P115" s="10" t="s">
        <v>175</v>
      </c>
      <c r="Q115" s="10" t="s">
        <v>175</v>
      </c>
      <c r="R115" s="10" t="s">
        <v>175</v>
      </c>
      <c r="S115" s="10" t="s">
        <v>175</v>
      </c>
      <c r="T115" s="10" t="s">
        <v>175</v>
      </c>
      <c r="U115" s="10" t="s">
        <v>175</v>
      </c>
      <c r="V115" s="10" t="s">
        <v>175</v>
      </c>
      <c r="W115" s="10" t="s">
        <v>175</v>
      </c>
      <c r="X115" s="10" t="s">
        <v>175</v>
      </c>
      <c r="Y115" s="10" t="s">
        <v>175</v>
      </c>
      <c r="Z115" s="10" t="s">
        <v>172</v>
      </c>
    </row>
    <row r="116" customFormat="false" ht="15" hidden="false" customHeight="true" outlineLevel="0" collapsed="false">
      <c r="A116" s="10" t="s">
        <v>744</v>
      </c>
      <c r="B116" s="10" t="s">
        <v>389</v>
      </c>
      <c r="C116" s="10" t="s">
        <v>694</v>
      </c>
      <c r="D116" s="10" t="s">
        <v>745</v>
      </c>
      <c r="E116" s="10" t="s">
        <v>161</v>
      </c>
      <c r="F116" s="10" t="s">
        <v>1102</v>
      </c>
      <c r="G116" s="10" t="s">
        <v>1139</v>
      </c>
      <c r="H116" s="10" t="s">
        <v>172</v>
      </c>
      <c r="I116" s="10" t="s">
        <v>51</v>
      </c>
      <c r="J116" s="10" t="s">
        <v>1111</v>
      </c>
      <c r="K116" s="10" t="s">
        <v>746</v>
      </c>
      <c r="L116" s="10" t="s">
        <v>1104</v>
      </c>
      <c r="M116" s="10" t="s">
        <v>1121</v>
      </c>
      <c r="N116" s="10" t="s">
        <v>1123</v>
      </c>
      <c r="O116" s="10" t="s">
        <v>697</v>
      </c>
      <c r="P116" s="10" t="s">
        <v>175</v>
      </c>
      <c r="Q116" s="10" t="s">
        <v>175</v>
      </c>
      <c r="R116" s="10" t="s">
        <v>175</v>
      </c>
      <c r="S116" s="10" t="s">
        <v>175</v>
      </c>
      <c r="T116" s="10" t="s">
        <v>175</v>
      </c>
      <c r="U116" s="10" t="s">
        <v>175</v>
      </c>
      <c r="V116" s="10" t="s">
        <v>175</v>
      </c>
      <c r="W116" s="10" t="s">
        <v>175</v>
      </c>
      <c r="X116" s="10" t="s">
        <v>175</v>
      </c>
      <c r="Y116" s="10" t="s">
        <v>175</v>
      </c>
      <c r="Z116" s="10" t="s">
        <v>172</v>
      </c>
    </row>
    <row r="117" customFormat="false" ht="15" hidden="false" customHeight="true" outlineLevel="0" collapsed="false">
      <c r="A117" s="10" t="s">
        <v>749</v>
      </c>
      <c r="B117" s="10" t="s">
        <v>389</v>
      </c>
      <c r="C117" s="10" t="s">
        <v>694</v>
      </c>
      <c r="D117" s="10" t="s">
        <v>750</v>
      </c>
      <c r="E117" s="10" t="s">
        <v>161</v>
      </c>
      <c r="F117" s="10" t="s">
        <v>1102</v>
      </c>
      <c r="G117" s="10" t="s">
        <v>1139</v>
      </c>
      <c r="H117" s="10" t="s">
        <v>172</v>
      </c>
      <c r="I117" s="10" t="s">
        <v>51</v>
      </c>
      <c r="J117" s="10" t="s">
        <v>1111</v>
      </c>
      <c r="K117" s="10" t="s">
        <v>746</v>
      </c>
      <c r="L117" s="10" t="s">
        <v>1104</v>
      </c>
      <c r="M117" s="10" t="s">
        <v>1121</v>
      </c>
      <c r="N117" s="10" t="s">
        <v>1123</v>
      </c>
      <c r="O117" s="10" t="s">
        <v>697</v>
      </c>
      <c r="P117" s="10" t="s">
        <v>175</v>
      </c>
      <c r="Q117" s="10" t="s">
        <v>175</v>
      </c>
      <c r="R117" s="10" t="s">
        <v>175</v>
      </c>
      <c r="S117" s="10" t="s">
        <v>175</v>
      </c>
      <c r="T117" s="10" t="s">
        <v>175</v>
      </c>
      <c r="U117" s="10" t="s">
        <v>175</v>
      </c>
      <c r="V117" s="10" t="s">
        <v>175</v>
      </c>
      <c r="W117" s="10" t="s">
        <v>175</v>
      </c>
      <c r="X117" s="10" t="s">
        <v>175</v>
      </c>
      <c r="Y117" s="10" t="s">
        <v>175</v>
      </c>
      <c r="Z117" s="10" t="s">
        <v>172</v>
      </c>
    </row>
    <row r="118" customFormat="false" ht="15" hidden="false" customHeight="true" outlineLevel="0" collapsed="false">
      <c r="A118" s="10" t="s">
        <v>753</v>
      </c>
      <c r="B118" s="10" t="s">
        <v>389</v>
      </c>
      <c r="C118" s="10" t="s">
        <v>694</v>
      </c>
      <c r="D118" s="10" t="s">
        <v>754</v>
      </c>
      <c r="E118" s="10" t="s">
        <v>161</v>
      </c>
      <c r="F118" s="10" t="s">
        <v>1102</v>
      </c>
      <c r="G118" s="10" t="s">
        <v>1139</v>
      </c>
      <c r="H118" s="10" t="s">
        <v>172</v>
      </c>
      <c r="I118" s="10" t="s">
        <v>51</v>
      </c>
      <c r="J118" s="10" t="s">
        <v>1111</v>
      </c>
      <c r="K118" s="10" t="s">
        <v>746</v>
      </c>
      <c r="L118" s="10" t="s">
        <v>1104</v>
      </c>
      <c r="M118" s="10" t="s">
        <v>1121</v>
      </c>
      <c r="N118" s="10" t="s">
        <v>1123</v>
      </c>
      <c r="O118" s="10" t="s">
        <v>697</v>
      </c>
      <c r="P118" s="10" t="s">
        <v>175</v>
      </c>
      <c r="Q118" s="10" t="s">
        <v>175</v>
      </c>
      <c r="R118" s="10" t="s">
        <v>175</v>
      </c>
      <c r="S118" s="10" t="s">
        <v>175</v>
      </c>
      <c r="T118" s="10" t="s">
        <v>175</v>
      </c>
      <c r="U118" s="10" t="s">
        <v>175</v>
      </c>
      <c r="V118" s="10" t="s">
        <v>175</v>
      </c>
      <c r="W118" s="10" t="s">
        <v>175</v>
      </c>
      <c r="X118" s="10" t="s">
        <v>175</v>
      </c>
      <c r="Y118" s="10" t="s">
        <v>175</v>
      </c>
      <c r="Z118" s="10" t="s">
        <v>172</v>
      </c>
    </row>
    <row r="119" customFormat="false" ht="15" hidden="false" customHeight="true" outlineLevel="0" collapsed="false">
      <c r="A119" s="10" t="s">
        <v>757</v>
      </c>
      <c r="B119" s="10" t="s">
        <v>758</v>
      </c>
      <c r="C119" s="10" t="s">
        <v>759</v>
      </c>
      <c r="D119" s="10" t="s">
        <v>760</v>
      </c>
      <c r="E119" s="10" t="s">
        <v>161</v>
      </c>
      <c r="F119" s="10" t="s">
        <v>1102</v>
      </c>
      <c r="G119" s="10" t="s">
        <v>1140</v>
      </c>
      <c r="H119" s="10" t="s">
        <v>172</v>
      </c>
      <c r="I119" s="10" t="s">
        <v>51</v>
      </c>
      <c r="J119" s="10" t="s">
        <v>198</v>
      </c>
      <c r="K119" s="10" t="s">
        <v>198</v>
      </c>
      <c r="L119" s="10" t="s">
        <v>1104</v>
      </c>
      <c r="M119" s="10" t="s">
        <v>1141</v>
      </c>
      <c r="N119" s="10" t="s">
        <v>1123</v>
      </c>
      <c r="O119" s="10" t="s">
        <v>762</v>
      </c>
      <c r="P119" s="10" t="s">
        <v>175</v>
      </c>
      <c r="Q119" s="10" t="s">
        <v>175</v>
      </c>
      <c r="R119" s="10" t="s">
        <v>175</v>
      </c>
      <c r="S119" s="10" t="s">
        <v>175</v>
      </c>
      <c r="T119" s="10" t="s">
        <v>175</v>
      </c>
      <c r="U119" s="10" t="s">
        <v>175</v>
      </c>
      <c r="V119" s="10" t="s">
        <v>175</v>
      </c>
      <c r="W119" s="10" t="s">
        <v>175</v>
      </c>
      <c r="X119" s="10" t="s">
        <v>175</v>
      </c>
      <c r="Y119" s="10" t="s">
        <v>175</v>
      </c>
      <c r="Z119" s="10" t="s">
        <v>172</v>
      </c>
    </row>
    <row r="120" customFormat="false" ht="15" hidden="false" customHeight="true" outlineLevel="0" collapsed="false">
      <c r="A120" s="10" t="s">
        <v>764</v>
      </c>
      <c r="B120" s="10" t="s">
        <v>758</v>
      </c>
      <c r="C120" s="10" t="s">
        <v>759</v>
      </c>
      <c r="D120" s="10" t="s">
        <v>765</v>
      </c>
      <c r="E120" s="10" t="s">
        <v>161</v>
      </c>
      <c r="F120" s="10" t="s">
        <v>1102</v>
      </c>
      <c r="G120" s="10" t="s">
        <v>1140</v>
      </c>
      <c r="H120" s="10" t="s">
        <v>172</v>
      </c>
      <c r="I120" s="10" t="s">
        <v>51</v>
      </c>
      <c r="J120" s="10" t="s">
        <v>1111</v>
      </c>
      <c r="K120" s="10" t="s">
        <v>766</v>
      </c>
      <c r="L120" s="10" t="s">
        <v>1104</v>
      </c>
      <c r="M120" s="10" t="s">
        <v>1141</v>
      </c>
      <c r="N120" s="10" t="s">
        <v>1123</v>
      </c>
      <c r="O120" s="10" t="s">
        <v>762</v>
      </c>
      <c r="P120" s="10" t="s">
        <v>175</v>
      </c>
      <c r="Q120" s="10" t="s">
        <v>175</v>
      </c>
      <c r="R120" s="10" t="s">
        <v>175</v>
      </c>
      <c r="S120" s="10" t="s">
        <v>175</v>
      </c>
      <c r="T120" s="10" t="s">
        <v>175</v>
      </c>
      <c r="U120" s="10" t="s">
        <v>175</v>
      </c>
      <c r="V120" s="10" t="s">
        <v>175</v>
      </c>
      <c r="W120" s="10" t="s">
        <v>175</v>
      </c>
      <c r="X120" s="10" t="s">
        <v>175</v>
      </c>
      <c r="Y120" s="10" t="s">
        <v>175</v>
      </c>
      <c r="Z120" s="10" t="s">
        <v>172</v>
      </c>
    </row>
    <row r="121" customFormat="false" ht="15" hidden="false" customHeight="true" outlineLevel="0" collapsed="false">
      <c r="A121" s="10" t="s">
        <v>769</v>
      </c>
      <c r="B121" s="10" t="s">
        <v>758</v>
      </c>
      <c r="C121" s="10" t="s">
        <v>759</v>
      </c>
      <c r="D121" s="10" t="s">
        <v>269</v>
      </c>
      <c r="E121" s="10" t="s">
        <v>161</v>
      </c>
      <c r="F121" s="10" t="s">
        <v>1102</v>
      </c>
      <c r="G121" s="10" t="s">
        <v>1140</v>
      </c>
      <c r="H121" s="10" t="s">
        <v>172</v>
      </c>
      <c r="I121" s="10" t="s">
        <v>51</v>
      </c>
      <c r="J121" s="10" t="s">
        <v>198</v>
      </c>
      <c r="K121" s="10" t="s">
        <v>198</v>
      </c>
      <c r="L121" s="10" t="s">
        <v>1104</v>
      </c>
      <c r="M121" s="10" t="s">
        <v>1141</v>
      </c>
      <c r="N121" s="10" t="s">
        <v>1123</v>
      </c>
      <c r="O121" s="10" t="s">
        <v>762</v>
      </c>
      <c r="P121" s="10" t="s">
        <v>175</v>
      </c>
      <c r="Q121" s="10" t="s">
        <v>175</v>
      </c>
      <c r="R121" s="10" t="s">
        <v>175</v>
      </c>
      <c r="S121" s="10" t="s">
        <v>175</v>
      </c>
      <c r="T121" s="10" t="s">
        <v>175</v>
      </c>
      <c r="U121" s="10" t="s">
        <v>175</v>
      </c>
      <c r="V121" s="10" t="s">
        <v>175</v>
      </c>
      <c r="W121" s="10" t="s">
        <v>175</v>
      </c>
      <c r="X121" s="10" t="s">
        <v>175</v>
      </c>
      <c r="Y121" s="10" t="s">
        <v>175</v>
      </c>
      <c r="Z121" s="10" t="s">
        <v>172</v>
      </c>
    </row>
    <row r="122" customFormat="false" ht="15" hidden="false" customHeight="true" outlineLevel="0" collapsed="false">
      <c r="A122" s="10" t="s">
        <v>772</v>
      </c>
      <c r="B122" s="10" t="s">
        <v>758</v>
      </c>
      <c r="C122" s="10" t="s">
        <v>759</v>
      </c>
      <c r="D122" s="10" t="s">
        <v>773</v>
      </c>
      <c r="E122" s="10" t="s">
        <v>139</v>
      </c>
      <c r="F122" s="10" t="s">
        <v>1102</v>
      </c>
      <c r="G122" s="10" t="s">
        <v>1142</v>
      </c>
      <c r="H122" s="10" t="s">
        <v>172</v>
      </c>
      <c r="I122" s="10" t="s">
        <v>51</v>
      </c>
      <c r="J122" s="10" t="s">
        <v>1108</v>
      </c>
      <c r="K122" s="10" t="s">
        <v>774</v>
      </c>
      <c r="L122" s="10" t="s">
        <v>1104</v>
      </c>
      <c r="M122" s="10" t="s">
        <v>1141</v>
      </c>
      <c r="N122" s="10" t="s">
        <v>1123</v>
      </c>
      <c r="O122" s="10" t="s">
        <v>762</v>
      </c>
      <c r="P122" s="10" t="s">
        <v>172</v>
      </c>
      <c r="Q122" s="10" t="s">
        <v>175</v>
      </c>
      <c r="R122" s="10" t="s">
        <v>175</v>
      </c>
      <c r="S122" s="10" t="s">
        <v>175</v>
      </c>
      <c r="T122" s="10" t="s">
        <v>175</v>
      </c>
      <c r="U122" s="10" t="s">
        <v>175</v>
      </c>
      <c r="V122" s="10" t="s">
        <v>175</v>
      </c>
      <c r="W122" s="10" t="s">
        <v>175</v>
      </c>
      <c r="X122" s="10" t="s">
        <v>175</v>
      </c>
      <c r="Y122" s="10" t="s">
        <v>175</v>
      </c>
      <c r="Z122" s="10" t="s">
        <v>175</v>
      </c>
    </row>
    <row r="123" customFormat="false" ht="15" hidden="false" customHeight="true" outlineLevel="0" collapsed="false">
      <c r="A123" s="10" t="s">
        <v>777</v>
      </c>
      <c r="B123" s="10" t="s">
        <v>758</v>
      </c>
      <c r="C123" s="10" t="s">
        <v>759</v>
      </c>
      <c r="D123" s="10" t="s">
        <v>778</v>
      </c>
      <c r="E123" s="10" t="s">
        <v>139</v>
      </c>
      <c r="F123" s="10" t="s">
        <v>1102</v>
      </c>
      <c r="G123" s="10" t="s">
        <v>1142</v>
      </c>
      <c r="H123" s="10" t="s">
        <v>172</v>
      </c>
      <c r="I123" s="10" t="s">
        <v>51</v>
      </c>
      <c r="J123" s="10" t="s">
        <v>1108</v>
      </c>
      <c r="K123" s="10" t="s">
        <v>774</v>
      </c>
      <c r="L123" s="10" t="s">
        <v>1104</v>
      </c>
      <c r="M123" s="10" t="s">
        <v>1141</v>
      </c>
      <c r="N123" s="10" t="s">
        <v>1123</v>
      </c>
      <c r="O123" s="10" t="s">
        <v>762</v>
      </c>
      <c r="P123" s="10" t="s">
        <v>172</v>
      </c>
      <c r="Q123" s="10" t="s">
        <v>175</v>
      </c>
      <c r="R123" s="10" t="s">
        <v>175</v>
      </c>
      <c r="S123" s="10" t="s">
        <v>175</v>
      </c>
      <c r="T123" s="10" t="s">
        <v>175</v>
      </c>
      <c r="U123" s="10" t="s">
        <v>175</v>
      </c>
      <c r="V123" s="10" t="s">
        <v>175</v>
      </c>
      <c r="W123" s="10" t="s">
        <v>175</v>
      </c>
      <c r="X123" s="10" t="s">
        <v>175</v>
      </c>
      <c r="Y123" s="10" t="s">
        <v>175</v>
      </c>
      <c r="Z123" s="10" t="s">
        <v>175</v>
      </c>
    </row>
    <row r="124" customFormat="false" ht="15" hidden="false" customHeight="true" outlineLevel="0" collapsed="false">
      <c r="A124" s="10" t="s">
        <v>780</v>
      </c>
      <c r="B124" s="10" t="s">
        <v>758</v>
      </c>
      <c r="C124" s="10" t="s">
        <v>759</v>
      </c>
      <c r="D124" s="10" t="s">
        <v>781</v>
      </c>
      <c r="E124" s="10" t="s">
        <v>139</v>
      </c>
      <c r="F124" s="10" t="s">
        <v>1102</v>
      </c>
      <c r="G124" s="10" t="s">
        <v>1142</v>
      </c>
      <c r="H124" s="10" t="s">
        <v>172</v>
      </c>
      <c r="I124" s="10" t="s">
        <v>51</v>
      </c>
      <c r="J124" s="10" t="s">
        <v>1108</v>
      </c>
      <c r="K124" s="10" t="s">
        <v>774</v>
      </c>
      <c r="L124" s="10" t="s">
        <v>1104</v>
      </c>
      <c r="M124" s="10" t="s">
        <v>1141</v>
      </c>
      <c r="N124" s="10" t="s">
        <v>1123</v>
      </c>
      <c r="O124" s="10" t="s">
        <v>762</v>
      </c>
      <c r="P124" s="10" t="s">
        <v>172</v>
      </c>
      <c r="Q124" s="10" t="s">
        <v>175</v>
      </c>
      <c r="R124" s="10" t="s">
        <v>175</v>
      </c>
      <c r="S124" s="10" t="s">
        <v>175</v>
      </c>
      <c r="T124" s="10" t="s">
        <v>175</v>
      </c>
      <c r="U124" s="10" t="s">
        <v>175</v>
      </c>
      <c r="V124" s="10" t="s">
        <v>175</v>
      </c>
      <c r="W124" s="10" t="s">
        <v>175</v>
      </c>
      <c r="X124" s="10" t="s">
        <v>175</v>
      </c>
      <c r="Y124" s="10" t="s">
        <v>175</v>
      </c>
      <c r="Z124" s="10" t="s">
        <v>175</v>
      </c>
    </row>
    <row r="125" customFormat="false" ht="15" hidden="false" customHeight="true" outlineLevel="0" collapsed="false">
      <c r="A125" s="10" t="s">
        <v>784</v>
      </c>
      <c r="B125" s="10" t="s">
        <v>758</v>
      </c>
      <c r="C125" s="10" t="s">
        <v>759</v>
      </c>
      <c r="D125" s="10" t="s">
        <v>785</v>
      </c>
      <c r="E125" s="10" t="s">
        <v>161</v>
      </c>
      <c r="F125" s="10" t="s">
        <v>1102</v>
      </c>
      <c r="G125" s="10" t="s">
        <v>1140</v>
      </c>
      <c r="H125" s="10" t="s">
        <v>172</v>
      </c>
      <c r="I125" s="10" t="s">
        <v>51</v>
      </c>
      <c r="J125" s="10" t="s">
        <v>198</v>
      </c>
      <c r="K125" s="10" t="s">
        <v>198</v>
      </c>
      <c r="L125" s="10" t="s">
        <v>1104</v>
      </c>
      <c r="M125" s="10" t="s">
        <v>1141</v>
      </c>
      <c r="N125" s="10" t="s">
        <v>1123</v>
      </c>
      <c r="O125" s="10" t="s">
        <v>762</v>
      </c>
      <c r="P125" s="10" t="s">
        <v>175</v>
      </c>
      <c r="Q125" s="10" t="s">
        <v>175</v>
      </c>
      <c r="R125" s="10" t="s">
        <v>175</v>
      </c>
      <c r="S125" s="10" t="s">
        <v>175</v>
      </c>
      <c r="T125" s="10" t="s">
        <v>175</v>
      </c>
      <c r="U125" s="10" t="s">
        <v>175</v>
      </c>
      <c r="V125" s="10" t="s">
        <v>175</v>
      </c>
      <c r="W125" s="10" t="s">
        <v>175</v>
      </c>
      <c r="X125" s="10" t="s">
        <v>175</v>
      </c>
      <c r="Y125" s="10" t="s">
        <v>175</v>
      </c>
      <c r="Z125" s="10" t="s">
        <v>172</v>
      </c>
    </row>
    <row r="126" customFormat="false" ht="15" hidden="false" customHeight="true" outlineLevel="0" collapsed="false">
      <c r="A126" s="10" t="s">
        <v>788</v>
      </c>
      <c r="B126" s="10" t="s">
        <v>758</v>
      </c>
      <c r="C126" s="10" t="s">
        <v>759</v>
      </c>
      <c r="D126" s="10" t="s">
        <v>789</v>
      </c>
      <c r="E126" s="10" t="s">
        <v>161</v>
      </c>
      <c r="F126" s="10" t="s">
        <v>1102</v>
      </c>
      <c r="G126" s="10" t="s">
        <v>1140</v>
      </c>
      <c r="H126" s="10" t="s">
        <v>172</v>
      </c>
      <c r="I126" s="10" t="s">
        <v>51</v>
      </c>
      <c r="J126" s="10" t="s">
        <v>198</v>
      </c>
      <c r="K126" s="10" t="s">
        <v>198</v>
      </c>
      <c r="L126" s="10" t="s">
        <v>1104</v>
      </c>
      <c r="M126" s="10" t="s">
        <v>1141</v>
      </c>
      <c r="N126" s="10" t="s">
        <v>1123</v>
      </c>
      <c r="O126" s="10" t="s">
        <v>762</v>
      </c>
      <c r="P126" s="10" t="s">
        <v>175</v>
      </c>
      <c r="Q126" s="10" t="s">
        <v>175</v>
      </c>
      <c r="R126" s="10" t="s">
        <v>175</v>
      </c>
      <c r="S126" s="10" t="s">
        <v>175</v>
      </c>
      <c r="T126" s="10" t="s">
        <v>175</v>
      </c>
      <c r="U126" s="10" t="s">
        <v>175</v>
      </c>
      <c r="V126" s="10" t="s">
        <v>175</v>
      </c>
      <c r="W126" s="10" t="s">
        <v>175</v>
      </c>
      <c r="X126" s="10" t="s">
        <v>175</v>
      </c>
      <c r="Y126" s="10" t="s">
        <v>175</v>
      </c>
      <c r="Z126" s="10" t="s">
        <v>172</v>
      </c>
    </row>
    <row r="127" customFormat="false" ht="15" hidden="false" customHeight="true" outlineLevel="0" collapsed="false">
      <c r="A127" s="10" t="s">
        <v>792</v>
      </c>
      <c r="B127" s="10" t="s">
        <v>758</v>
      </c>
      <c r="C127" s="10" t="s">
        <v>759</v>
      </c>
      <c r="D127" s="10" t="s">
        <v>793</v>
      </c>
      <c r="E127" s="10" t="s">
        <v>156</v>
      </c>
      <c r="F127" s="10" t="s">
        <v>1102</v>
      </c>
      <c r="G127" s="10" t="s">
        <v>1143</v>
      </c>
      <c r="H127" s="10" t="s">
        <v>172</v>
      </c>
      <c r="I127" s="10" t="s">
        <v>51</v>
      </c>
      <c r="J127" s="10" t="s">
        <v>198</v>
      </c>
      <c r="K127" s="10" t="s">
        <v>198</v>
      </c>
      <c r="L127" s="10" t="s">
        <v>1104</v>
      </c>
      <c r="M127" s="10" t="s">
        <v>1141</v>
      </c>
      <c r="N127" s="10" t="s">
        <v>1123</v>
      </c>
      <c r="O127" s="10" t="s">
        <v>762</v>
      </c>
      <c r="P127" s="10" t="s">
        <v>175</v>
      </c>
      <c r="Q127" s="10" t="s">
        <v>175</v>
      </c>
      <c r="R127" s="10" t="s">
        <v>175</v>
      </c>
      <c r="S127" s="10" t="s">
        <v>175</v>
      </c>
      <c r="T127" s="10" t="s">
        <v>175</v>
      </c>
      <c r="U127" s="10" t="s">
        <v>175</v>
      </c>
      <c r="V127" s="10" t="s">
        <v>175</v>
      </c>
      <c r="W127" s="10" t="s">
        <v>175</v>
      </c>
      <c r="X127" s="10" t="s">
        <v>172</v>
      </c>
      <c r="Y127" s="10" t="s">
        <v>175</v>
      </c>
      <c r="Z127" s="10" t="s">
        <v>175</v>
      </c>
    </row>
    <row r="128" customFormat="false" ht="15" hidden="false" customHeight="true" outlineLevel="0" collapsed="false">
      <c r="A128" s="10" t="s">
        <v>796</v>
      </c>
      <c r="B128" s="10" t="s">
        <v>758</v>
      </c>
      <c r="C128" s="10" t="s">
        <v>759</v>
      </c>
      <c r="D128" s="10" t="s">
        <v>797</v>
      </c>
      <c r="E128" s="10" t="s">
        <v>643</v>
      </c>
      <c r="F128" s="10" t="s">
        <v>1102</v>
      </c>
      <c r="G128" s="10" t="s">
        <v>1143</v>
      </c>
      <c r="H128" s="10" t="s">
        <v>172</v>
      </c>
      <c r="I128" s="10" t="s">
        <v>51</v>
      </c>
      <c r="J128" s="10" t="s">
        <v>198</v>
      </c>
      <c r="K128" s="10" t="s">
        <v>198</v>
      </c>
      <c r="L128" s="10" t="s">
        <v>1104</v>
      </c>
      <c r="M128" s="10" t="s">
        <v>1141</v>
      </c>
      <c r="N128" s="10" t="s">
        <v>1123</v>
      </c>
      <c r="O128" s="10" t="s">
        <v>762</v>
      </c>
      <c r="P128" s="10" t="s">
        <v>175</v>
      </c>
      <c r="Q128" s="10" t="s">
        <v>175</v>
      </c>
      <c r="R128" s="10" t="s">
        <v>175</v>
      </c>
      <c r="S128" s="10" t="s">
        <v>175</v>
      </c>
      <c r="T128" s="10" t="s">
        <v>175</v>
      </c>
      <c r="U128" s="10" t="s">
        <v>172</v>
      </c>
      <c r="V128" s="10" t="s">
        <v>175</v>
      </c>
      <c r="W128" s="10" t="s">
        <v>175</v>
      </c>
      <c r="X128" s="10" t="s">
        <v>172</v>
      </c>
      <c r="Y128" s="10" t="s">
        <v>175</v>
      </c>
      <c r="Z128" s="10" t="s">
        <v>175</v>
      </c>
    </row>
    <row r="129" customFormat="false" ht="15" hidden="false" customHeight="true" outlineLevel="0" collapsed="false">
      <c r="A129" s="10" t="s">
        <v>800</v>
      </c>
      <c r="B129" s="10" t="s">
        <v>758</v>
      </c>
      <c r="C129" s="10" t="s">
        <v>759</v>
      </c>
      <c r="D129" s="10" t="s">
        <v>745</v>
      </c>
      <c r="E129" s="10" t="s">
        <v>161</v>
      </c>
      <c r="F129" s="10" t="s">
        <v>1102</v>
      </c>
      <c r="G129" s="10" t="s">
        <v>1140</v>
      </c>
      <c r="H129" s="10" t="s">
        <v>172</v>
      </c>
      <c r="I129" s="10" t="s">
        <v>51</v>
      </c>
      <c r="J129" s="10" t="s">
        <v>198</v>
      </c>
      <c r="K129" s="10" t="s">
        <v>198</v>
      </c>
      <c r="L129" s="10" t="s">
        <v>1104</v>
      </c>
      <c r="M129" s="10" t="s">
        <v>1141</v>
      </c>
      <c r="N129" s="10" t="s">
        <v>1123</v>
      </c>
      <c r="O129" s="10" t="s">
        <v>762</v>
      </c>
      <c r="P129" s="10" t="s">
        <v>175</v>
      </c>
      <c r="Q129" s="10" t="s">
        <v>175</v>
      </c>
      <c r="R129" s="10" t="s">
        <v>175</v>
      </c>
      <c r="S129" s="10" t="s">
        <v>175</v>
      </c>
      <c r="T129" s="10" t="s">
        <v>175</v>
      </c>
      <c r="U129" s="10" t="s">
        <v>175</v>
      </c>
      <c r="V129" s="10" t="s">
        <v>175</v>
      </c>
      <c r="W129" s="10" t="s">
        <v>175</v>
      </c>
      <c r="X129" s="10" t="s">
        <v>175</v>
      </c>
      <c r="Y129" s="10" t="s">
        <v>175</v>
      </c>
      <c r="Z129" s="10" t="s">
        <v>172</v>
      </c>
    </row>
    <row r="130" customFormat="false" ht="15" hidden="false" customHeight="true" outlineLevel="0" collapsed="false">
      <c r="A130" s="10" t="s">
        <v>803</v>
      </c>
      <c r="B130" s="10" t="s">
        <v>758</v>
      </c>
      <c r="C130" s="10" t="s">
        <v>759</v>
      </c>
      <c r="D130" s="10" t="s">
        <v>750</v>
      </c>
      <c r="E130" s="10" t="s">
        <v>161</v>
      </c>
      <c r="F130" s="10" t="s">
        <v>1102</v>
      </c>
      <c r="G130" s="10" t="s">
        <v>1140</v>
      </c>
      <c r="H130" s="10" t="s">
        <v>172</v>
      </c>
      <c r="I130" s="10" t="s">
        <v>51</v>
      </c>
      <c r="J130" s="10" t="s">
        <v>198</v>
      </c>
      <c r="K130" s="10" t="s">
        <v>198</v>
      </c>
      <c r="L130" s="10" t="s">
        <v>1104</v>
      </c>
      <c r="M130" s="10" t="s">
        <v>1141</v>
      </c>
      <c r="N130" s="10" t="s">
        <v>1123</v>
      </c>
      <c r="O130" s="10" t="s">
        <v>762</v>
      </c>
      <c r="P130" s="10" t="s">
        <v>175</v>
      </c>
      <c r="Q130" s="10" t="s">
        <v>175</v>
      </c>
      <c r="R130" s="10" t="s">
        <v>175</v>
      </c>
      <c r="S130" s="10" t="s">
        <v>175</v>
      </c>
      <c r="T130" s="10" t="s">
        <v>175</v>
      </c>
      <c r="U130" s="10" t="s">
        <v>175</v>
      </c>
      <c r="V130" s="10" t="s">
        <v>175</v>
      </c>
      <c r="W130" s="10" t="s">
        <v>175</v>
      </c>
      <c r="X130" s="10" t="s">
        <v>175</v>
      </c>
      <c r="Y130" s="10" t="s">
        <v>175</v>
      </c>
      <c r="Z130" s="10" t="s">
        <v>172</v>
      </c>
    </row>
    <row r="131" customFormat="false" ht="15" hidden="false" customHeight="true" outlineLevel="0" collapsed="false">
      <c r="A131" s="10" t="s">
        <v>806</v>
      </c>
      <c r="B131" s="10" t="s">
        <v>758</v>
      </c>
      <c r="C131" s="10" t="s">
        <v>759</v>
      </c>
      <c r="D131" s="10" t="s">
        <v>807</v>
      </c>
      <c r="E131" s="10" t="s">
        <v>161</v>
      </c>
      <c r="F131" s="10" t="s">
        <v>1102</v>
      </c>
      <c r="G131" s="10" t="s">
        <v>1140</v>
      </c>
      <c r="H131" s="10" t="s">
        <v>172</v>
      </c>
      <c r="I131" s="10" t="s">
        <v>51</v>
      </c>
      <c r="J131" s="10" t="s">
        <v>198</v>
      </c>
      <c r="K131" s="10" t="s">
        <v>198</v>
      </c>
      <c r="L131" s="10" t="s">
        <v>1104</v>
      </c>
      <c r="M131" s="10" t="s">
        <v>1141</v>
      </c>
      <c r="N131" s="10" t="s">
        <v>1123</v>
      </c>
      <c r="O131" s="10" t="s">
        <v>762</v>
      </c>
      <c r="P131" s="10" t="s">
        <v>175</v>
      </c>
      <c r="Q131" s="10" t="s">
        <v>175</v>
      </c>
      <c r="R131" s="10" t="s">
        <v>175</v>
      </c>
      <c r="S131" s="10" t="s">
        <v>175</v>
      </c>
      <c r="T131" s="10" t="s">
        <v>175</v>
      </c>
      <c r="U131" s="10" t="s">
        <v>175</v>
      </c>
      <c r="V131" s="10" t="s">
        <v>175</v>
      </c>
      <c r="W131" s="10" t="s">
        <v>175</v>
      </c>
      <c r="X131" s="10" t="s">
        <v>175</v>
      </c>
      <c r="Y131" s="10" t="s">
        <v>175</v>
      </c>
      <c r="Z131" s="10" t="s">
        <v>172</v>
      </c>
    </row>
    <row r="132" customFormat="false" ht="15" hidden="false" customHeight="true" outlineLevel="0" collapsed="false">
      <c r="A132" s="10" t="s">
        <v>810</v>
      </c>
      <c r="B132" s="10" t="s">
        <v>758</v>
      </c>
      <c r="C132" s="10" t="s">
        <v>759</v>
      </c>
      <c r="D132" s="10" t="s">
        <v>811</v>
      </c>
      <c r="E132" s="10" t="s">
        <v>161</v>
      </c>
      <c r="F132" s="10" t="s">
        <v>1102</v>
      </c>
      <c r="G132" s="10" t="s">
        <v>1144</v>
      </c>
      <c r="H132" s="10" t="s">
        <v>172</v>
      </c>
      <c r="I132" s="10" t="s">
        <v>51</v>
      </c>
      <c r="J132" s="10" t="s">
        <v>1108</v>
      </c>
      <c r="K132" s="10" t="s">
        <v>812</v>
      </c>
      <c r="L132" s="10" t="s">
        <v>1104</v>
      </c>
      <c r="M132" s="10" t="s">
        <v>1141</v>
      </c>
      <c r="N132" s="10" t="s">
        <v>1123</v>
      </c>
      <c r="O132" s="10" t="s">
        <v>762</v>
      </c>
      <c r="P132" s="10" t="s">
        <v>175</v>
      </c>
      <c r="Q132" s="10" t="s">
        <v>175</v>
      </c>
      <c r="R132" s="10" t="s">
        <v>175</v>
      </c>
      <c r="S132" s="10" t="s">
        <v>175</v>
      </c>
      <c r="T132" s="10" t="s">
        <v>175</v>
      </c>
      <c r="U132" s="10" t="s">
        <v>175</v>
      </c>
      <c r="V132" s="10" t="s">
        <v>175</v>
      </c>
      <c r="W132" s="10" t="s">
        <v>175</v>
      </c>
      <c r="X132" s="10" t="s">
        <v>175</v>
      </c>
      <c r="Y132" s="10" t="s">
        <v>175</v>
      </c>
      <c r="Z132" s="10" t="s">
        <v>172</v>
      </c>
    </row>
    <row r="133" customFormat="false" ht="15" hidden="false" customHeight="true" outlineLevel="0" collapsed="false">
      <c r="A133" s="10" t="s">
        <v>815</v>
      </c>
      <c r="B133" s="10" t="s">
        <v>816</v>
      </c>
      <c r="C133" s="10" t="s">
        <v>817</v>
      </c>
      <c r="D133" s="10" t="s">
        <v>818</v>
      </c>
      <c r="E133" s="10" t="s">
        <v>161</v>
      </c>
      <c r="F133" s="10" t="s">
        <v>1145</v>
      </c>
      <c r="G133" s="10" t="s">
        <v>1146</v>
      </c>
      <c r="H133" s="10" t="s">
        <v>169</v>
      </c>
      <c r="I133" s="10" t="s">
        <v>51</v>
      </c>
      <c r="J133" s="10" t="s">
        <v>198</v>
      </c>
      <c r="K133" s="10" t="s">
        <v>198</v>
      </c>
      <c r="L133" s="10" t="s">
        <v>1104</v>
      </c>
      <c r="M133" s="10" t="s">
        <v>1147</v>
      </c>
      <c r="N133" s="10" t="s">
        <v>1148</v>
      </c>
      <c r="O133" s="10" t="s">
        <v>821</v>
      </c>
      <c r="P133" s="10" t="s">
        <v>175</v>
      </c>
      <c r="Q133" s="10" t="s">
        <v>175</v>
      </c>
      <c r="R133" s="10" t="s">
        <v>175</v>
      </c>
      <c r="S133" s="10" t="s">
        <v>175</v>
      </c>
      <c r="T133" s="10" t="s">
        <v>175</v>
      </c>
      <c r="U133" s="10" t="s">
        <v>175</v>
      </c>
      <c r="V133" s="10" t="s">
        <v>175</v>
      </c>
      <c r="W133" s="10" t="s">
        <v>175</v>
      </c>
      <c r="X133" s="10" t="s">
        <v>175</v>
      </c>
      <c r="Y133" s="10" t="s">
        <v>175</v>
      </c>
      <c r="Z133" s="10" t="s">
        <v>169</v>
      </c>
    </row>
    <row r="134" customFormat="false" ht="15" hidden="false" customHeight="true" outlineLevel="0" collapsed="false">
      <c r="A134" s="10" t="s">
        <v>823</v>
      </c>
      <c r="B134" s="10" t="s">
        <v>816</v>
      </c>
      <c r="C134" s="10" t="s">
        <v>817</v>
      </c>
      <c r="D134" s="10" t="s">
        <v>742</v>
      </c>
      <c r="E134" s="10" t="s">
        <v>161</v>
      </c>
      <c r="F134" s="10" t="s">
        <v>1145</v>
      </c>
      <c r="G134" s="10" t="s">
        <v>1146</v>
      </c>
      <c r="H134" s="10" t="s">
        <v>169</v>
      </c>
      <c r="I134" s="10" t="s">
        <v>51</v>
      </c>
      <c r="J134" s="10" t="s">
        <v>198</v>
      </c>
      <c r="K134" s="10" t="s">
        <v>198</v>
      </c>
      <c r="L134" s="10" t="s">
        <v>1104</v>
      </c>
      <c r="M134" s="10" t="s">
        <v>1147</v>
      </c>
      <c r="N134" s="10" t="s">
        <v>1148</v>
      </c>
      <c r="O134" s="10" t="s">
        <v>821</v>
      </c>
      <c r="P134" s="10" t="s">
        <v>175</v>
      </c>
      <c r="Q134" s="10" t="s">
        <v>175</v>
      </c>
      <c r="R134" s="10" t="s">
        <v>175</v>
      </c>
      <c r="S134" s="10" t="s">
        <v>175</v>
      </c>
      <c r="T134" s="10" t="s">
        <v>175</v>
      </c>
      <c r="U134" s="10" t="s">
        <v>175</v>
      </c>
      <c r="V134" s="10" t="s">
        <v>175</v>
      </c>
      <c r="W134" s="10" t="s">
        <v>175</v>
      </c>
      <c r="X134" s="10" t="s">
        <v>175</v>
      </c>
      <c r="Y134" s="10" t="s">
        <v>175</v>
      </c>
      <c r="Z134" s="10" t="s">
        <v>169</v>
      </c>
    </row>
    <row r="135" customFormat="false" ht="15" hidden="false" customHeight="true" outlineLevel="0" collapsed="false">
      <c r="A135" s="10" t="s">
        <v>826</v>
      </c>
      <c r="B135" s="10" t="s">
        <v>816</v>
      </c>
      <c r="C135" s="10" t="s">
        <v>817</v>
      </c>
      <c r="D135" s="10" t="s">
        <v>827</v>
      </c>
      <c r="E135" s="10" t="s">
        <v>161</v>
      </c>
      <c r="F135" s="10" t="s">
        <v>1145</v>
      </c>
      <c r="G135" s="10" t="s">
        <v>1146</v>
      </c>
      <c r="H135" s="10" t="s">
        <v>169</v>
      </c>
      <c r="I135" s="10" t="s">
        <v>51</v>
      </c>
      <c r="J135" s="10" t="s">
        <v>198</v>
      </c>
      <c r="K135" s="10" t="s">
        <v>198</v>
      </c>
      <c r="L135" s="10" t="s">
        <v>1104</v>
      </c>
      <c r="M135" s="10" t="s">
        <v>1147</v>
      </c>
      <c r="N135" s="10" t="s">
        <v>1148</v>
      </c>
      <c r="O135" s="10" t="s">
        <v>821</v>
      </c>
      <c r="P135" s="10" t="s">
        <v>175</v>
      </c>
      <c r="Q135" s="10" t="s">
        <v>175</v>
      </c>
      <c r="R135" s="10" t="s">
        <v>175</v>
      </c>
      <c r="S135" s="10" t="s">
        <v>175</v>
      </c>
      <c r="T135" s="10" t="s">
        <v>175</v>
      </c>
      <c r="U135" s="10" t="s">
        <v>175</v>
      </c>
      <c r="V135" s="10" t="s">
        <v>175</v>
      </c>
      <c r="W135" s="10" t="s">
        <v>175</v>
      </c>
      <c r="X135" s="10" t="s">
        <v>175</v>
      </c>
      <c r="Y135" s="10" t="s">
        <v>175</v>
      </c>
      <c r="Z135" s="10" t="s">
        <v>169</v>
      </c>
    </row>
    <row r="136" customFormat="false" ht="15" hidden="false" customHeight="true" outlineLevel="0" collapsed="false">
      <c r="A136" s="10" t="s">
        <v>830</v>
      </c>
      <c r="B136" s="10" t="s">
        <v>816</v>
      </c>
      <c r="C136" s="10" t="s">
        <v>817</v>
      </c>
      <c r="D136" s="10" t="s">
        <v>831</v>
      </c>
      <c r="E136" s="10" t="s">
        <v>643</v>
      </c>
      <c r="F136" s="10" t="s">
        <v>1145</v>
      </c>
      <c r="G136" s="10" t="s">
        <v>1146</v>
      </c>
      <c r="H136" s="10" t="s">
        <v>169</v>
      </c>
      <c r="I136" s="10" t="s">
        <v>51</v>
      </c>
      <c r="J136" s="10" t="s">
        <v>198</v>
      </c>
      <c r="K136" s="10" t="s">
        <v>198</v>
      </c>
      <c r="L136" s="10" t="s">
        <v>1104</v>
      </c>
      <c r="M136" s="10" t="s">
        <v>1147</v>
      </c>
      <c r="N136" s="10" t="s">
        <v>1148</v>
      </c>
      <c r="O136" s="10" t="s">
        <v>821</v>
      </c>
      <c r="P136" s="10" t="s">
        <v>175</v>
      </c>
      <c r="Q136" s="10" t="s">
        <v>175</v>
      </c>
      <c r="R136" s="10" t="s">
        <v>175</v>
      </c>
      <c r="S136" s="10" t="s">
        <v>175</v>
      </c>
      <c r="T136" s="10" t="s">
        <v>175</v>
      </c>
      <c r="U136" s="10" t="s">
        <v>169</v>
      </c>
      <c r="V136" s="10" t="s">
        <v>175</v>
      </c>
      <c r="W136" s="10" t="s">
        <v>175</v>
      </c>
      <c r="X136" s="10" t="s">
        <v>169</v>
      </c>
      <c r="Y136" s="10" t="s">
        <v>175</v>
      </c>
      <c r="Z136" s="10" t="s">
        <v>175</v>
      </c>
    </row>
    <row r="137" customFormat="false" ht="15" hidden="false" customHeight="true" outlineLevel="0" collapsed="false">
      <c r="A137" s="10" t="s">
        <v>834</v>
      </c>
      <c r="B137" s="10" t="s">
        <v>816</v>
      </c>
      <c r="C137" s="10" t="s">
        <v>817</v>
      </c>
      <c r="D137" s="10" t="s">
        <v>835</v>
      </c>
      <c r="E137" s="10" t="s">
        <v>161</v>
      </c>
      <c r="F137" s="10" t="s">
        <v>1145</v>
      </c>
      <c r="G137" s="10" t="s">
        <v>1146</v>
      </c>
      <c r="H137" s="10" t="s">
        <v>169</v>
      </c>
      <c r="I137" s="10" t="s">
        <v>51</v>
      </c>
      <c r="J137" s="10" t="s">
        <v>1111</v>
      </c>
      <c r="K137" s="10" t="s">
        <v>836</v>
      </c>
      <c r="L137" s="10" t="s">
        <v>1104</v>
      </c>
      <c r="M137" s="10" t="s">
        <v>1147</v>
      </c>
      <c r="N137" s="10" t="s">
        <v>1148</v>
      </c>
      <c r="O137" s="10" t="s">
        <v>821</v>
      </c>
      <c r="P137" s="10" t="s">
        <v>175</v>
      </c>
      <c r="Q137" s="10" t="s">
        <v>175</v>
      </c>
      <c r="R137" s="10" t="s">
        <v>175</v>
      </c>
      <c r="S137" s="10" t="s">
        <v>175</v>
      </c>
      <c r="T137" s="10" t="s">
        <v>175</v>
      </c>
      <c r="U137" s="10" t="s">
        <v>175</v>
      </c>
      <c r="V137" s="10" t="s">
        <v>175</v>
      </c>
      <c r="W137" s="10" t="s">
        <v>175</v>
      </c>
      <c r="X137" s="10" t="s">
        <v>175</v>
      </c>
      <c r="Y137" s="10" t="s">
        <v>175</v>
      </c>
      <c r="Z137" s="10" t="s">
        <v>169</v>
      </c>
    </row>
    <row r="138" customFormat="false" ht="15" hidden="false" customHeight="true" outlineLevel="0" collapsed="false">
      <c r="A138" s="10" t="s">
        <v>839</v>
      </c>
      <c r="B138" s="10" t="s">
        <v>816</v>
      </c>
      <c r="C138" s="10" t="s">
        <v>817</v>
      </c>
      <c r="D138" s="10" t="s">
        <v>840</v>
      </c>
      <c r="E138" s="10" t="s">
        <v>161</v>
      </c>
      <c r="F138" s="10" t="s">
        <v>1145</v>
      </c>
      <c r="G138" s="10" t="s">
        <v>1146</v>
      </c>
      <c r="H138" s="10" t="s">
        <v>169</v>
      </c>
      <c r="I138" s="10" t="s">
        <v>51</v>
      </c>
      <c r="J138" s="10" t="s">
        <v>1111</v>
      </c>
      <c r="K138" s="10" t="s">
        <v>841</v>
      </c>
      <c r="L138" s="10" t="s">
        <v>1104</v>
      </c>
      <c r="M138" s="10" t="s">
        <v>1147</v>
      </c>
      <c r="N138" s="10" t="s">
        <v>1148</v>
      </c>
      <c r="O138" s="10" t="s">
        <v>821</v>
      </c>
      <c r="P138" s="10" t="s">
        <v>175</v>
      </c>
      <c r="Q138" s="10" t="s">
        <v>175</v>
      </c>
      <c r="R138" s="10" t="s">
        <v>175</v>
      </c>
      <c r="S138" s="10" t="s">
        <v>175</v>
      </c>
      <c r="T138" s="10" t="s">
        <v>175</v>
      </c>
      <c r="U138" s="10" t="s">
        <v>175</v>
      </c>
      <c r="V138" s="10" t="s">
        <v>175</v>
      </c>
      <c r="W138" s="10" t="s">
        <v>175</v>
      </c>
      <c r="X138" s="10" t="s">
        <v>175</v>
      </c>
      <c r="Y138" s="10" t="s">
        <v>175</v>
      </c>
      <c r="Z138" s="10" t="s">
        <v>169</v>
      </c>
    </row>
    <row r="139" customFormat="false" ht="15" hidden="false" customHeight="true" outlineLevel="0" collapsed="false">
      <c r="A139" s="10" t="s">
        <v>844</v>
      </c>
      <c r="B139" s="10" t="s">
        <v>816</v>
      </c>
      <c r="C139" s="10" t="s">
        <v>817</v>
      </c>
      <c r="D139" s="10" t="s">
        <v>845</v>
      </c>
      <c r="E139" s="10" t="s">
        <v>161</v>
      </c>
      <c r="F139" s="10" t="s">
        <v>1145</v>
      </c>
      <c r="G139" s="10" t="s">
        <v>1146</v>
      </c>
      <c r="H139" s="10" t="s">
        <v>169</v>
      </c>
      <c r="I139" s="10" t="s">
        <v>51</v>
      </c>
      <c r="J139" s="10" t="s">
        <v>198</v>
      </c>
      <c r="K139" s="10" t="s">
        <v>198</v>
      </c>
      <c r="L139" s="10" t="s">
        <v>1104</v>
      </c>
      <c r="M139" s="10" t="s">
        <v>1147</v>
      </c>
      <c r="N139" s="10" t="s">
        <v>1148</v>
      </c>
      <c r="O139" s="10" t="s">
        <v>821</v>
      </c>
      <c r="P139" s="10" t="s">
        <v>175</v>
      </c>
      <c r="Q139" s="10" t="s">
        <v>175</v>
      </c>
      <c r="R139" s="10" t="s">
        <v>175</v>
      </c>
      <c r="S139" s="10" t="s">
        <v>175</v>
      </c>
      <c r="T139" s="10" t="s">
        <v>175</v>
      </c>
      <c r="U139" s="10" t="s">
        <v>175</v>
      </c>
      <c r="V139" s="10" t="s">
        <v>175</v>
      </c>
      <c r="W139" s="10" t="s">
        <v>175</v>
      </c>
      <c r="X139" s="10" t="s">
        <v>175</v>
      </c>
      <c r="Y139" s="10" t="s">
        <v>175</v>
      </c>
      <c r="Z139" s="10" t="s">
        <v>169</v>
      </c>
    </row>
    <row r="140" customFormat="false" ht="15" hidden="false" customHeight="true" outlineLevel="0" collapsed="false">
      <c r="A140" s="10" t="s">
        <v>848</v>
      </c>
      <c r="B140" s="10" t="s">
        <v>816</v>
      </c>
      <c r="C140" s="10" t="s">
        <v>817</v>
      </c>
      <c r="D140" s="10" t="s">
        <v>849</v>
      </c>
      <c r="E140" s="10" t="s">
        <v>161</v>
      </c>
      <c r="F140" s="10" t="s">
        <v>1145</v>
      </c>
      <c r="G140" s="10" t="s">
        <v>1146</v>
      </c>
      <c r="H140" s="10" t="s">
        <v>169</v>
      </c>
      <c r="I140" s="10" t="s">
        <v>51</v>
      </c>
      <c r="J140" s="10" t="s">
        <v>198</v>
      </c>
      <c r="K140" s="10" t="s">
        <v>198</v>
      </c>
      <c r="L140" s="10" t="s">
        <v>1104</v>
      </c>
      <c r="M140" s="10" t="s">
        <v>1147</v>
      </c>
      <c r="N140" s="10" t="s">
        <v>1148</v>
      </c>
      <c r="O140" s="10" t="s">
        <v>821</v>
      </c>
      <c r="P140" s="10" t="s">
        <v>175</v>
      </c>
      <c r="Q140" s="10" t="s">
        <v>175</v>
      </c>
      <c r="R140" s="10" t="s">
        <v>175</v>
      </c>
      <c r="S140" s="10" t="s">
        <v>175</v>
      </c>
      <c r="T140" s="10" t="s">
        <v>175</v>
      </c>
      <c r="U140" s="10" t="s">
        <v>175</v>
      </c>
      <c r="V140" s="10" t="s">
        <v>175</v>
      </c>
      <c r="W140" s="10" t="s">
        <v>175</v>
      </c>
      <c r="X140" s="10" t="s">
        <v>175</v>
      </c>
      <c r="Y140" s="10" t="s">
        <v>175</v>
      </c>
      <c r="Z140" s="10" t="s">
        <v>169</v>
      </c>
    </row>
    <row r="141" customFormat="false" ht="15" hidden="false" customHeight="true" outlineLevel="0" collapsed="false">
      <c r="A141" s="10" t="s">
        <v>852</v>
      </c>
      <c r="B141" s="10" t="s">
        <v>816</v>
      </c>
      <c r="C141" s="10" t="s">
        <v>817</v>
      </c>
      <c r="D141" s="10" t="s">
        <v>853</v>
      </c>
      <c r="E141" s="10" t="s">
        <v>161</v>
      </c>
      <c r="F141" s="10" t="s">
        <v>1145</v>
      </c>
      <c r="G141" s="10" t="s">
        <v>1146</v>
      </c>
      <c r="H141" s="10" t="s">
        <v>169</v>
      </c>
      <c r="I141" s="10" t="s">
        <v>51</v>
      </c>
      <c r="J141" s="10" t="s">
        <v>1111</v>
      </c>
      <c r="K141" s="10" t="s">
        <v>836</v>
      </c>
      <c r="L141" s="10" t="s">
        <v>1104</v>
      </c>
      <c r="M141" s="10" t="s">
        <v>1147</v>
      </c>
      <c r="N141" s="10" t="s">
        <v>1148</v>
      </c>
      <c r="O141" s="10" t="s">
        <v>821</v>
      </c>
      <c r="P141" s="10" t="s">
        <v>175</v>
      </c>
      <c r="Q141" s="10" t="s">
        <v>175</v>
      </c>
      <c r="R141" s="10" t="s">
        <v>175</v>
      </c>
      <c r="S141" s="10" t="s">
        <v>175</v>
      </c>
      <c r="T141" s="10" t="s">
        <v>175</v>
      </c>
      <c r="U141" s="10" t="s">
        <v>175</v>
      </c>
      <c r="V141" s="10" t="s">
        <v>175</v>
      </c>
      <c r="W141" s="10" t="s">
        <v>175</v>
      </c>
      <c r="X141" s="10" t="s">
        <v>175</v>
      </c>
      <c r="Y141" s="10" t="s">
        <v>175</v>
      </c>
      <c r="Z141" s="10" t="s">
        <v>169</v>
      </c>
    </row>
    <row r="142" customFormat="false" ht="15" hidden="false" customHeight="true" outlineLevel="0" collapsed="false">
      <c r="A142" s="10" t="s">
        <v>856</v>
      </c>
      <c r="B142" s="10" t="s">
        <v>816</v>
      </c>
      <c r="C142" s="10" t="s">
        <v>817</v>
      </c>
      <c r="D142" s="10" t="s">
        <v>857</v>
      </c>
      <c r="E142" s="10" t="s">
        <v>161</v>
      </c>
      <c r="F142" s="10" t="s">
        <v>1145</v>
      </c>
      <c r="G142" s="10" t="s">
        <v>1146</v>
      </c>
      <c r="H142" s="10" t="s">
        <v>169</v>
      </c>
      <c r="I142" s="10" t="s">
        <v>51</v>
      </c>
      <c r="J142" s="10" t="s">
        <v>1111</v>
      </c>
      <c r="K142" s="10" t="s">
        <v>841</v>
      </c>
      <c r="L142" s="10" t="s">
        <v>1104</v>
      </c>
      <c r="M142" s="10" t="s">
        <v>1147</v>
      </c>
      <c r="N142" s="10" t="s">
        <v>1148</v>
      </c>
      <c r="O142" s="10" t="s">
        <v>821</v>
      </c>
      <c r="P142" s="10" t="s">
        <v>175</v>
      </c>
      <c r="Q142" s="10" t="s">
        <v>175</v>
      </c>
      <c r="R142" s="10" t="s">
        <v>175</v>
      </c>
      <c r="S142" s="10" t="s">
        <v>175</v>
      </c>
      <c r="T142" s="10" t="s">
        <v>175</v>
      </c>
      <c r="U142" s="10" t="s">
        <v>175</v>
      </c>
      <c r="V142" s="10" t="s">
        <v>175</v>
      </c>
      <c r="W142" s="10" t="s">
        <v>175</v>
      </c>
      <c r="X142" s="10" t="s">
        <v>175</v>
      </c>
      <c r="Y142" s="10" t="s">
        <v>175</v>
      </c>
      <c r="Z142" s="10" t="s">
        <v>169</v>
      </c>
    </row>
    <row r="143" customFormat="false" ht="15" hidden="false" customHeight="true" outlineLevel="0" collapsed="false">
      <c r="A143" s="10" t="s">
        <v>860</v>
      </c>
      <c r="B143" s="10" t="s">
        <v>816</v>
      </c>
      <c r="C143" s="10" t="s">
        <v>817</v>
      </c>
      <c r="D143" s="10" t="s">
        <v>861</v>
      </c>
      <c r="E143" s="10" t="s">
        <v>161</v>
      </c>
      <c r="F143" s="10" t="s">
        <v>1145</v>
      </c>
      <c r="G143" s="10" t="s">
        <v>1146</v>
      </c>
      <c r="H143" s="10" t="s">
        <v>169</v>
      </c>
      <c r="I143" s="10" t="s">
        <v>51</v>
      </c>
      <c r="J143" s="10" t="s">
        <v>1108</v>
      </c>
      <c r="K143" s="10" t="s">
        <v>862</v>
      </c>
      <c r="L143" s="10" t="s">
        <v>1104</v>
      </c>
      <c r="M143" s="10" t="s">
        <v>1147</v>
      </c>
      <c r="N143" s="10" t="s">
        <v>1148</v>
      </c>
      <c r="O143" s="10" t="s">
        <v>821</v>
      </c>
      <c r="P143" s="10" t="s">
        <v>175</v>
      </c>
      <c r="Q143" s="10" t="s">
        <v>175</v>
      </c>
      <c r="R143" s="10" t="s">
        <v>175</v>
      </c>
      <c r="S143" s="10" t="s">
        <v>175</v>
      </c>
      <c r="T143" s="10" t="s">
        <v>175</v>
      </c>
      <c r="U143" s="10" t="s">
        <v>175</v>
      </c>
      <c r="V143" s="10" t="s">
        <v>175</v>
      </c>
      <c r="W143" s="10" t="s">
        <v>175</v>
      </c>
      <c r="X143" s="10" t="s">
        <v>175</v>
      </c>
      <c r="Y143" s="10" t="s">
        <v>175</v>
      </c>
      <c r="Z143" s="10" t="s">
        <v>169</v>
      </c>
    </row>
    <row r="144" customFormat="false" ht="15" hidden="false" customHeight="true" outlineLevel="0" collapsed="false">
      <c r="A144" s="10" t="s">
        <v>865</v>
      </c>
      <c r="B144" s="10" t="s">
        <v>816</v>
      </c>
      <c r="C144" s="10" t="s">
        <v>817</v>
      </c>
      <c r="D144" s="10" t="s">
        <v>866</v>
      </c>
      <c r="E144" s="10" t="s">
        <v>139</v>
      </c>
      <c r="F144" s="10" t="s">
        <v>1145</v>
      </c>
      <c r="G144" s="10" t="s">
        <v>1146</v>
      </c>
      <c r="H144" s="10" t="s">
        <v>169</v>
      </c>
      <c r="I144" s="10" t="s">
        <v>51</v>
      </c>
      <c r="J144" s="10" t="s">
        <v>198</v>
      </c>
      <c r="K144" s="10" t="s">
        <v>198</v>
      </c>
      <c r="L144" s="10" t="s">
        <v>1104</v>
      </c>
      <c r="M144" s="10" t="s">
        <v>1147</v>
      </c>
      <c r="N144" s="10" t="s">
        <v>1148</v>
      </c>
      <c r="O144" s="10" t="s">
        <v>821</v>
      </c>
      <c r="P144" s="10" t="s">
        <v>169</v>
      </c>
      <c r="Q144" s="10" t="s">
        <v>175</v>
      </c>
      <c r="R144" s="10" t="s">
        <v>175</v>
      </c>
      <c r="S144" s="10" t="s">
        <v>175</v>
      </c>
      <c r="T144" s="10" t="s">
        <v>175</v>
      </c>
      <c r="U144" s="10" t="s">
        <v>175</v>
      </c>
      <c r="V144" s="10" t="s">
        <v>175</v>
      </c>
      <c r="W144" s="10" t="s">
        <v>175</v>
      </c>
      <c r="X144" s="10" t="s">
        <v>175</v>
      </c>
      <c r="Y144" s="10" t="s">
        <v>175</v>
      </c>
      <c r="Z144" s="10" t="s">
        <v>175</v>
      </c>
    </row>
    <row r="145" customFormat="false" ht="15" hidden="false" customHeight="true" outlineLevel="0" collapsed="false">
      <c r="A145" s="10" t="s">
        <v>869</v>
      </c>
      <c r="B145" s="10" t="s">
        <v>816</v>
      </c>
      <c r="C145" s="10" t="s">
        <v>817</v>
      </c>
      <c r="D145" s="10" t="s">
        <v>870</v>
      </c>
      <c r="E145" s="10" t="s">
        <v>161</v>
      </c>
      <c r="F145" s="10" t="s">
        <v>1145</v>
      </c>
      <c r="G145" s="10" t="s">
        <v>1146</v>
      </c>
      <c r="H145" s="10" t="s">
        <v>169</v>
      </c>
      <c r="I145" s="10" t="s">
        <v>51</v>
      </c>
      <c r="J145" s="10" t="s">
        <v>1108</v>
      </c>
      <c r="K145" s="10" t="s">
        <v>871</v>
      </c>
      <c r="L145" s="10" t="s">
        <v>1104</v>
      </c>
      <c r="M145" s="10" t="s">
        <v>1147</v>
      </c>
      <c r="N145" s="10" t="s">
        <v>1148</v>
      </c>
      <c r="O145" s="10" t="s">
        <v>821</v>
      </c>
      <c r="P145" s="10" t="s">
        <v>175</v>
      </c>
      <c r="Q145" s="10" t="s">
        <v>175</v>
      </c>
      <c r="R145" s="10" t="s">
        <v>175</v>
      </c>
      <c r="S145" s="10" t="s">
        <v>175</v>
      </c>
      <c r="T145" s="10" t="s">
        <v>175</v>
      </c>
      <c r="U145" s="10" t="s">
        <v>175</v>
      </c>
      <c r="V145" s="10" t="s">
        <v>175</v>
      </c>
      <c r="W145" s="10" t="s">
        <v>175</v>
      </c>
      <c r="X145" s="10" t="s">
        <v>175</v>
      </c>
      <c r="Y145" s="10" t="s">
        <v>175</v>
      </c>
      <c r="Z145" s="10" t="s">
        <v>169</v>
      </c>
    </row>
    <row r="146" customFormat="false" ht="15" hidden="false" customHeight="true" outlineLevel="0" collapsed="false">
      <c r="A146" s="10" t="s">
        <v>874</v>
      </c>
      <c r="B146" s="10" t="s">
        <v>816</v>
      </c>
      <c r="C146" s="10" t="s">
        <v>817</v>
      </c>
      <c r="D146" s="10" t="s">
        <v>875</v>
      </c>
      <c r="E146" s="10" t="s">
        <v>161</v>
      </c>
      <c r="F146" s="10" t="s">
        <v>1145</v>
      </c>
      <c r="G146" s="10" t="s">
        <v>1146</v>
      </c>
      <c r="H146" s="10" t="s">
        <v>169</v>
      </c>
      <c r="I146" s="10" t="s">
        <v>51</v>
      </c>
      <c r="J146" s="10" t="s">
        <v>1108</v>
      </c>
      <c r="K146" s="10" t="s">
        <v>876</v>
      </c>
      <c r="L146" s="10" t="s">
        <v>1104</v>
      </c>
      <c r="M146" s="10" t="s">
        <v>1147</v>
      </c>
      <c r="N146" s="10" t="s">
        <v>1148</v>
      </c>
      <c r="O146" s="10" t="s">
        <v>821</v>
      </c>
      <c r="P146" s="10" t="s">
        <v>175</v>
      </c>
      <c r="Q146" s="10" t="s">
        <v>175</v>
      </c>
      <c r="R146" s="10" t="s">
        <v>175</v>
      </c>
      <c r="S146" s="10" t="s">
        <v>175</v>
      </c>
      <c r="T146" s="10" t="s">
        <v>175</v>
      </c>
      <c r="U146" s="10" t="s">
        <v>175</v>
      </c>
      <c r="V146" s="10" t="s">
        <v>175</v>
      </c>
      <c r="W146" s="10" t="s">
        <v>175</v>
      </c>
      <c r="X146" s="10" t="s">
        <v>175</v>
      </c>
      <c r="Y146" s="10" t="s">
        <v>175</v>
      </c>
      <c r="Z146" s="10" t="s">
        <v>169</v>
      </c>
    </row>
    <row r="147" customFormat="false" ht="15" hidden="false" customHeight="true" outlineLevel="0" collapsed="false">
      <c r="A147" s="10" t="s">
        <v>879</v>
      </c>
      <c r="B147" s="10" t="s">
        <v>816</v>
      </c>
      <c r="C147" s="10" t="s">
        <v>817</v>
      </c>
      <c r="D147" s="10" t="s">
        <v>880</v>
      </c>
      <c r="E147" s="10" t="s">
        <v>156</v>
      </c>
      <c r="F147" s="10" t="s">
        <v>1149</v>
      </c>
      <c r="G147" s="10" t="s">
        <v>1150</v>
      </c>
      <c r="H147" s="10" t="s">
        <v>169</v>
      </c>
      <c r="I147" s="10" t="s">
        <v>51</v>
      </c>
      <c r="J147" s="10" t="s">
        <v>198</v>
      </c>
      <c r="K147" s="10" t="s">
        <v>198</v>
      </c>
      <c r="L147" s="10" t="s">
        <v>1104</v>
      </c>
      <c r="M147" s="10" t="s">
        <v>1147</v>
      </c>
      <c r="N147" s="10" t="s">
        <v>1151</v>
      </c>
      <c r="O147" s="10" t="s">
        <v>821</v>
      </c>
      <c r="P147" s="10" t="s">
        <v>175</v>
      </c>
      <c r="Q147" s="10" t="s">
        <v>175</v>
      </c>
      <c r="R147" s="10" t="s">
        <v>175</v>
      </c>
      <c r="S147" s="10" t="s">
        <v>175</v>
      </c>
      <c r="T147" s="10" t="s">
        <v>175</v>
      </c>
      <c r="U147" s="10" t="s">
        <v>175</v>
      </c>
      <c r="V147" s="10" t="s">
        <v>175</v>
      </c>
      <c r="W147" s="10" t="s">
        <v>175</v>
      </c>
      <c r="X147" s="10" t="s">
        <v>169</v>
      </c>
      <c r="Y147" s="10" t="s">
        <v>175</v>
      </c>
      <c r="Z147" s="10" t="s">
        <v>175</v>
      </c>
    </row>
    <row r="148" customFormat="false" ht="15" hidden="false" customHeight="true" outlineLevel="0" collapsed="false">
      <c r="A148" s="10" t="s">
        <v>884</v>
      </c>
      <c r="B148" s="10" t="s">
        <v>816</v>
      </c>
      <c r="C148" s="10" t="s">
        <v>817</v>
      </c>
      <c r="D148" s="10" t="s">
        <v>885</v>
      </c>
      <c r="E148" s="10" t="s">
        <v>161</v>
      </c>
      <c r="F148" s="10" t="s">
        <v>1152</v>
      </c>
      <c r="G148" s="10" t="s">
        <v>1153</v>
      </c>
      <c r="H148" s="10" t="s">
        <v>172</v>
      </c>
      <c r="I148" s="10" t="s">
        <v>51</v>
      </c>
      <c r="J148" s="10" t="s">
        <v>198</v>
      </c>
      <c r="K148" s="10" t="s">
        <v>198</v>
      </c>
      <c r="L148" s="10" t="s">
        <v>1104</v>
      </c>
      <c r="M148" s="10" t="s">
        <v>1154</v>
      </c>
      <c r="N148" s="10" t="s">
        <v>1155</v>
      </c>
      <c r="O148" s="10" t="s">
        <v>888</v>
      </c>
      <c r="P148" s="10" t="s">
        <v>175</v>
      </c>
      <c r="Q148" s="10" t="s">
        <v>175</v>
      </c>
      <c r="R148" s="10" t="s">
        <v>175</v>
      </c>
      <c r="S148" s="10" t="s">
        <v>175</v>
      </c>
      <c r="T148" s="10" t="s">
        <v>175</v>
      </c>
      <c r="U148" s="10" t="s">
        <v>175</v>
      </c>
      <c r="V148" s="10" t="s">
        <v>175</v>
      </c>
      <c r="W148" s="10" t="s">
        <v>175</v>
      </c>
      <c r="X148" s="10" t="s">
        <v>175</v>
      </c>
      <c r="Y148" s="10" t="s">
        <v>175</v>
      </c>
      <c r="Z148" s="10" t="s">
        <v>172</v>
      </c>
    </row>
    <row r="149" customFormat="false" ht="15" hidden="false" customHeight="true" outlineLevel="0" collapsed="false">
      <c r="A149" s="10" t="s">
        <v>890</v>
      </c>
      <c r="B149" s="10" t="s">
        <v>816</v>
      </c>
      <c r="C149" s="10" t="s">
        <v>817</v>
      </c>
      <c r="D149" s="10" t="s">
        <v>891</v>
      </c>
      <c r="E149" s="10" t="s">
        <v>161</v>
      </c>
      <c r="F149" s="10" t="s">
        <v>1152</v>
      </c>
      <c r="G149" s="10" t="s">
        <v>1153</v>
      </c>
      <c r="H149" s="10" t="s">
        <v>172</v>
      </c>
      <c r="I149" s="10" t="s">
        <v>51</v>
      </c>
      <c r="J149" s="10" t="s">
        <v>1108</v>
      </c>
      <c r="K149" s="10" t="s">
        <v>892</v>
      </c>
      <c r="L149" s="10" t="s">
        <v>1104</v>
      </c>
      <c r="M149" s="10" t="s">
        <v>1154</v>
      </c>
      <c r="N149" s="10" t="s">
        <v>1155</v>
      </c>
      <c r="O149" s="10" t="s">
        <v>888</v>
      </c>
      <c r="P149" s="10" t="s">
        <v>175</v>
      </c>
      <c r="Q149" s="10" t="s">
        <v>175</v>
      </c>
      <c r="R149" s="10" t="s">
        <v>175</v>
      </c>
      <c r="S149" s="10" t="s">
        <v>175</v>
      </c>
      <c r="T149" s="10" t="s">
        <v>175</v>
      </c>
      <c r="U149" s="10" t="s">
        <v>175</v>
      </c>
      <c r="V149" s="10" t="s">
        <v>175</v>
      </c>
      <c r="W149" s="10" t="s">
        <v>175</v>
      </c>
      <c r="X149" s="10" t="s">
        <v>175</v>
      </c>
      <c r="Y149" s="10" t="s">
        <v>175</v>
      </c>
      <c r="Z149" s="10" t="s">
        <v>172</v>
      </c>
    </row>
    <row r="150" customFormat="false" ht="15" hidden="false" customHeight="true" outlineLevel="0" collapsed="false">
      <c r="A150" s="10" t="s">
        <v>895</v>
      </c>
      <c r="B150" s="10" t="s">
        <v>896</v>
      </c>
      <c r="C150" s="10" t="s">
        <v>897</v>
      </c>
      <c r="D150" s="10" t="s">
        <v>898</v>
      </c>
      <c r="E150" s="10" t="s">
        <v>144</v>
      </c>
      <c r="F150" s="10" t="s">
        <v>1102</v>
      </c>
      <c r="G150" s="10" t="s">
        <v>1156</v>
      </c>
      <c r="H150" s="10" t="s">
        <v>169</v>
      </c>
      <c r="I150" s="10" t="s">
        <v>51</v>
      </c>
      <c r="J150" s="10" t="s">
        <v>198</v>
      </c>
      <c r="K150" s="10" t="s">
        <v>198</v>
      </c>
      <c r="L150" s="10" t="s">
        <v>1104</v>
      </c>
      <c r="M150" s="10" t="s">
        <v>1157</v>
      </c>
      <c r="N150" s="10" t="s">
        <v>1158</v>
      </c>
      <c r="O150" s="10" t="s">
        <v>900</v>
      </c>
      <c r="P150" s="10" t="s">
        <v>175</v>
      </c>
      <c r="Q150" s="10" t="s">
        <v>175</v>
      </c>
      <c r="R150" s="10" t="s">
        <v>169</v>
      </c>
      <c r="S150" s="10" t="s">
        <v>175</v>
      </c>
      <c r="T150" s="10" t="s">
        <v>175</v>
      </c>
      <c r="U150" s="10" t="s">
        <v>175</v>
      </c>
      <c r="V150" s="10" t="s">
        <v>175</v>
      </c>
      <c r="W150" s="10" t="s">
        <v>175</v>
      </c>
      <c r="X150" s="10" t="s">
        <v>175</v>
      </c>
      <c r="Y150" s="10" t="s">
        <v>175</v>
      </c>
      <c r="Z150" s="10" t="s">
        <v>175</v>
      </c>
    </row>
    <row r="151" customFormat="false" ht="15" hidden="false" customHeight="true" outlineLevel="0" collapsed="false">
      <c r="A151" s="10" t="s">
        <v>902</v>
      </c>
      <c r="B151" s="10" t="s">
        <v>896</v>
      </c>
      <c r="C151" s="10" t="s">
        <v>897</v>
      </c>
      <c r="D151" s="10" t="s">
        <v>898</v>
      </c>
      <c r="E151" s="10" t="s">
        <v>144</v>
      </c>
      <c r="F151" s="10" t="s">
        <v>1102</v>
      </c>
      <c r="G151" s="10" t="s">
        <v>1156</v>
      </c>
      <c r="H151" s="10" t="s">
        <v>169</v>
      </c>
      <c r="I151" s="10" t="s">
        <v>51</v>
      </c>
      <c r="J151" s="10" t="s">
        <v>198</v>
      </c>
      <c r="K151" s="10" t="s">
        <v>198</v>
      </c>
      <c r="L151" s="10" t="s">
        <v>1104</v>
      </c>
      <c r="M151" s="10" t="s">
        <v>1157</v>
      </c>
      <c r="N151" s="10" t="s">
        <v>1158</v>
      </c>
      <c r="O151" s="10" t="s">
        <v>900</v>
      </c>
      <c r="P151" s="10" t="s">
        <v>175</v>
      </c>
      <c r="Q151" s="10" t="s">
        <v>175</v>
      </c>
      <c r="R151" s="10" t="s">
        <v>169</v>
      </c>
      <c r="S151" s="10" t="s">
        <v>175</v>
      </c>
      <c r="T151" s="10" t="s">
        <v>175</v>
      </c>
      <c r="U151" s="10" t="s">
        <v>175</v>
      </c>
      <c r="V151" s="10" t="s">
        <v>175</v>
      </c>
      <c r="W151" s="10" t="s">
        <v>175</v>
      </c>
      <c r="X151" s="10" t="s">
        <v>175</v>
      </c>
      <c r="Y151" s="10" t="s">
        <v>175</v>
      </c>
      <c r="Z151" s="10" t="s">
        <v>175</v>
      </c>
    </row>
    <row r="152" customFormat="false" ht="15" hidden="false" customHeight="true" outlineLevel="0" collapsed="false">
      <c r="A152" s="10" t="s">
        <v>905</v>
      </c>
      <c r="B152" s="10" t="s">
        <v>896</v>
      </c>
      <c r="C152" s="10" t="s">
        <v>897</v>
      </c>
      <c r="D152" s="10" t="s">
        <v>906</v>
      </c>
      <c r="E152" s="10" t="s">
        <v>144</v>
      </c>
      <c r="F152" s="10" t="s">
        <v>1102</v>
      </c>
      <c r="G152" s="10" t="s">
        <v>1156</v>
      </c>
      <c r="H152" s="10" t="s">
        <v>169</v>
      </c>
      <c r="I152" s="10" t="s">
        <v>51</v>
      </c>
      <c r="J152" s="10" t="s">
        <v>198</v>
      </c>
      <c r="K152" s="10" t="s">
        <v>198</v>
      </c>
      <c r="L152" s="10" t="s">
        <v>1104</v>
      </c>
      <c r="M152" s="10" t="s">
        <v>1157</v>
      </c>
      <c r="N152" s="10" t="s">
        <v>1158</v>
      </c>
      <c r="O152" s="10" t="s">
        <v>900</v>
      </c>
      <c r="P152" s="10" t="s">
        <v>175</v>
      </c>
      <c r="Q152" s="10" t="s">
        <v>175</v>
      </c>
      <c r="R152" s="10" t="s">
        <v>169</v>
      </c>
      <c r="S152" s="10" t="s">
        <v>175</v>
      </c>
      <c r="T152" s="10" t="s">
        <v>175</v>
      </c>
      <c r="U152" s="10" t="s">
        <v>175</v>
      </c>
      <c r="V152" s="10" t="s">
        <v>175</v>
      </c>
      <c r="W152" s="10" t="s">
        <v>175</v>
      </c>
      <c r="X152" s="10" t="s">
        <v>175</v>
      </c>
      <c r="Y152" s="10" t="s">
        <v>175</v>
      </c>
      <c r="Z152" s="10" t="s">
        <v>175</v>
      </c>
    </row>
    <row r="153" customFormat="false" ht="15" hidden="false" customHeight="true" outlineLevel="0" collapsed="false">
      <c r="A153" s="10" t="s">
        <v>909</v>
      </c>
      <c r="B153" s="10" t="s">
        <v>896</v>
      </c>
      <c r="C153" s="10" t="s">
        <v>897</v>
      </c>
      <c r="D153" s="10" t="s">
        <v>910</v>
      </c>
      <c r="E153" s="10" t="s">
        <v>144</v>
      </c>
      <c r="F153" s="10" t="s">
        <v>1102</v>
      </c>
      <c r="G153" s="10" t="s">
        <v>1156</v>
      </c>
      <c r="H153" s="10" t="s">
        <v>169</v>
      </c>
      <c r="I153" s="10" t="s">
        <v>62</v>
      </c>
      <c r="J153" s="10" t="s">
        <v>198</v>
      </c>
      <c r="K153" s="10" t="s">
        <v>198</v>
      </c>
      <c r="L153" s="10" t="s">
        <v>1104</v>
      </c>
      <c r="M153" s="10" t="s">
        <v>1157</v>
      </c>
      <c r="N153" s="10" t="s">
        <v>1158</v>
      </c>
      <c r="O153" s="10" t="s">
        <v>900</v>
      </c>
      <c r="P153" s="10" t="s">
        <v>175</v>
      </c>
      <c r="Q153" s="10" t="s">
        <v>175</v>
      </c>
      <c r="R153" s="10" t="s">
        <v>169</v>
      </c>
      <c r="S153" s="10" t="s">
        <v>175</v>
      </c>
      <c r="T153" s="10" t="s">
        <v>175</v>
      </c>
      <c r="U153" s="10" t="s">
        <v>175</v>
      </c>
      <c r="V153" s="10" t="s">
        <v>175</v>
      </c>
      <c r="W153" s="10" t="s">
        <v>175</v>
      </c>
      <c r="X153" s="10" t="s">
        <v>175</v>
      </c>
      <c r="Y153" s="10" t="s">
        <v>175</v>
      </c>
      <c r="Z153" s="10" t="s">
        <v>175</v>
      </c>
    </row>
    <row r="154" customFormat="false" ht="15" hidden="false" customHeight="true" outlineLevel="0" collapsed="false">
      <c r="A154" s="10" t="s">
        <v>913</v>
      </c>
      <c r="B154" s="10" t="s">
        <v>896</v>
      </c>
      <c r="C154" s="10" t="s">
        <v>897</v>
      </c>
      <c r="D154" s="10" t="s">
        <v>914</v>
      </c>
      <c r="E154" s="10" t="s">
        <v>144</v>
      </c>
      <c r="F154" s="10" t="s">
        <v>1102</v>
      </c>
      <c r="G154" s="10" t="s">
        <v>1156</v>
      </c>
      <c r="H154" s="10" t="s">
        <v>169</v>
      </c>
      <c r="I154" s="10" t="s">
        <v>51</v>
      </c>
      <c r="J154" s="10" t="s">
        <v>198</v>
      </c>
      <c r="K154" s="10" t="s">
        <v>198</v>
      </c>
      <c r="L154" s="10" t="s">
        <v>1104</v>
      </c>
      <c r="M154" s="10" t="s">
        <v>1157</v>
      </c>
      <c r="N154" s="10" t="s">
        <v>1158</v>
      </c>
      <c r="O154" s="10" t="s">
        <v>900</v>
      </c>
      <c r="P154" s="10" t="s">
        <v>175</v>
      </c>
      <c r="Q154" s="10" t="s">
        <v>175</v>
      </c>
      <c r="R154" s="10" t="s">
        <v>169</v>
      </c>
      <c r="S154" s="10" t="s">
        <v>175</v>
      </c>
      <c r="T154" s="10" t="s">
        <v>175</v>
      </c>
      <c r="U154" s="10" t="s">
        <v>175</v>
      </c>
      <c r="V154" s="10" t="s">
        <v>175</v>
      </c>
      <c r="W154" s="10" t="s">
        <v>175</v>
      </c>
      <c r="X154" s="10" t="s">
        <v>175</v>
      </c>
      <c r="Y154" s="10" t="s">
        <v>175</v>
      </c>
      <c r="Z154" s="10" t="s">
        <v>175</v>
      </c>
    </row>
    <row r="155" customFormat="false" ht="15" hidden="false" customHeight="true" outlineLevel="0" collapsed="false">
      <c r="A155" s="10" t="s">
        <v>917</v>
      </c>
      <c r="B155" s="10" t="s">
        <v>896</v>
      </c>
      <c r="C155" s="10" t="s">
        <v>897</v>
      </c>
      <c r="D155" s="10" t="s">
        <v>835</v>
      </c>
      <c r="E155" s="10" t="s">
        <v>144</v>
      </c>
      <c r="F155" s="10" t="s">
        <v>1102</v>
      </c>
      <c r="G155" s="10" t="s">
        <v>1156</v>
      </c>
      <c r="H155" s="10" t="s">
        <v>169</v>
      </c>
      <c r="I155" s="10" t="s">
        <v>62</v>
      </c>
      <c r="J155" s="10" t="s">
        <v>198</v>
      </c>
      <c r="K155" s="10" t="s">
        <v>198</v>
      </c>
      <c r="L155" s="10" t="s">
        <v>1104</v>
      </c>
      <c r="M155" s="10" t="s">
        <v>1157</v>
      </c>
      <c r="N155" s="10" t="s">
        <v>1158</v>
      </c>
      <c r="O155" s="10" t="s">
        <v>900</v>
      </c>
      <c r="P155" s="10" t="s">
        <v>175</v>
      </c>
      <c r="Q155" s="10" t="s">
        <v>175</v>
      </c>
      <c r="R155" s="10" t="s">
        <v>169</v>
      </c>
      <c r="S155" s="10" t="s">
        <v>175</v>
      </c>
      <c r="T155" s="10" t="s">
        <v>175</v>
      </c>
      <c r="U155" s="10" t="s">
        <v>175</v>
      </c>
      <c r="V155" s="10" t="s">
        <v>175</v>
      </c>
      <c r="W155" s="10" t="s">
        <v>175</v>
      </c>
      <c r="X155" s="10" t="s">
        <v>175</v>
      </c>
      <c r="Y155" s="10" t="s">
        <v>175</v>
      </c>
      <c r="Z155" s="10" t="s">
        <v>175</v>
      </c>
    </row>
    <row r="156" customFormat="false" ht="15" hidden="false" customHeight="true" outlineLevel="0" collapsed="false">
      <c r="A156" s="10" t="s">
        <v>920</v>
      </c>
      <c r="B156" s="10" t="s">
        <v>896</v>
      </c>
      <c r="C156" s="10" t="s">
        <v>897</v>
      </c>
      <c r="D156" s="10" t="s">
        <v>921</v>
      </c>
      <c r="E156" s="10" t="s">
        <v>144</v>
      </c>
      <c r="F156" s="10" t="s">
        <v>1102</v>
      </c>
      <c r="G156" s="10" t="s">
        <v>1156</v>
      </c>
      <c r="H156" s="10" t="s">
        <v>169</v>
      </c>
      <c r="I156" s="10" t="s">
        <v>51</v>
      </c>
      <c r="J156" s="10" t="s">
        <v>198</v>
      </c>
      <c r="K156" s="10" t="s">
        <v>198</v>
      </c>
      <c r="L156" s="10" t="s">
        <v>1104</v>
      </c>
      <c r="M156" s="10" t="s">
        <v>1157</v>
      </c>
      <c r="N156" s="10" t="s">
        <v>1158</v>
      </c>
      <c r="O156" s="10" t="s">
        <v>900</v>
      </c>
      <c r="P156" s="10" t="s">
        <v>175</v>
      </c>
      <c r="Q156" s="10" t="s">
        <v>175</v>
      </c>
      <c r="R156" s="10" t="s">
        <v>169</v>
      </c>
      <c r="S156" s="10" t="s">
        <v>175</v>
      </c>
      <c r="T156" s="10" t="s">
        <v>175</v>
      </c>
      <c r="U156" s="10" t="s">
        <v>175</v>
      </c>
      <c r="V156" s="10" t="s">
        <v>175</v>
      </c>
      <c r="W156" s="10" t="s">
        <v>175</v>
      </c>
      <c r="X156" s="10" t="s">
        <v>175</v>
      </c>
      <c r="Y156" s="10" t="s">
        <v>175</v>
      </c>
      <c r="Z156" s="10" t="s">
        <v>175</v>
      </c>
    </row>
    <row r="157" customFormat="false" ht="15" hidden="false" customHeight="true" outlineLevel="0" collapsed="false">
      <c r="A157" s="10" t="s">
        <v>924</v>
      </c>
      <c r="B157" s="10" t="s">
        <v>896</v>
      </c>
      <c r="C157" s="10" t="s">
        <v>897</v>
      </c>
      <c r="D157" s="10" t="s">
        <v>925</v>
      </c>
      <c r="E157" s="10" t="s">
        <v>144</v>
      </c>
      <c r="F157" s="10" t="s">
        <v>1102</v>
      </c>
      <c r="G157" s="10" t="s">
        <v>1156</v>
      </c>
      <c r="H157" s="10" t="s">
        <v>169</v>
      </c>
      <c r="I157" s="10" t="s">
        <v>62</v>
      </c>
      <c r="J157" s="10" t="s">
        <v>1108</v>
      </c>
      <c r="K157" s="10" t="s">
        <v>926</v>
      </c>
      <c r="L157" s="10" t="s">
        <v>1104</v>
      </c>
      <c r="M157" s="10" t="s">
        <v>1157</v>
      </c>
      <c r="N157" s="10" t="s">
        <v>1158</v>
      </c>
      <c r="O157" s="10" t="s">
        <v>900</v>
      </c>
      <c r="P157" s="10" t="s">
        <v>175</v>
      </c>
      <c r="Q157" s="10" t="s">
        <v>175</v>
      </c>
      <c r="R157" s="10" t="s">
        <v>169</v>
      </c>
      <c r="S157" s="10" t="s">
        <v>175</v>
      </c>
      <c r="T157" s="10" t="s">
        <v>175</v>
      </c>
      <c r="U157" s="10" t="s">
        <v>175</v>
      </c>
      <c r="V157" s="10" t="s">
        <v>175</v>
      </c>
      <c r="W157" s="10" t="s">
        <v>175</v>
      </c>
      <c r="X157" s="10" t="s">
        <v>175</v>
      </c>
      <c r="Y157" s="10" t="s">
        <v>175</v>
      </c>
      <c r="Z157" s="10" t="s">
        <v>175</v>
      </c>
    </row>
    <row r="158" customFormat="false" ht="15" hidden="false" customHeight="true" outlineLevel="0" collapsed="false">
      <c r="A158" s="10" t="s">
        <v>929</v>
      </c>
      <c r="B158" s="10" t="s">
        <v>896</v>
      </c>
      <c r="C158" s="10" t="s">
        <v>897</v>
      </c>
      <c r="D158" s="10" t="s">
        <v>930</v>
      </c>
      <c r="E158" s="10" t="s">
        <v>161</v>
      </c>
      <c r="F158" s="10" t="s">
        <v>1102</v>
      </c>
      <c r="G158" s="10" t="s">
        <v>1159</v>
      </c>
      <c r="H158" s="10" t="s">
        <v>172</v>
      </c>
      <c r="I158" s="10" t="s">
        <v>51</v>
      </c>
      <c r="J158" s="10" t="s">
        <v>198</v>
      </c>
      <c r="K158" s="10" t="s">
        <v>198</v>
      </c>
      <c r="L158" s="10" t="s">
        <v>1104</v>
      </c>
      <c r="M158" s="10" t="s">
        <v>1157</v>
      </c>
      <c r="N158" s="10" t="s">
        <v>1160</v>
      </c>
      <c r="O158" s="10" t="s">
        <v>900</v>
      </c>
      <c r="P158" s="10" t="s">
        <v>175</v>
      </c>
      <c r="Q158" s="10" t="s">
        <v>175</v>
      </c>
      <c r="R158" s="10" t="s">
        <v>175</v>
      </c>
      <c r="S158" s="10" t="s">
        <v>175</v>
      </c>
      <c r="T158" s="10" t="s">
        <v>175</v>
      </c>
      <c r="U158" s="10" t="s">
        <v>175</v>
      </c>
      <c r="V158" s="10" t="s">
        <v>175</v>
      </c>
      <c r="W158" s="10" t="s">
        <v>175</v>
      </c>
      <c r="X158" s="10" t="s">
        <v>175</v>
      </c>
      <c r="Y158" s="10" t="s">
        <v>175</v>
      </c>
      <c r="Z158" s="10" t="s">
        <v>172</v>
      </c>
    </row>
    <row r="159" customFormat="false" ht="15" hidden="false" customHeight="true" outlineLevel="0" collapsed="false">
      <c r="A159" s="10" t="s">
        <v>933</v>
      </c>
      <c r="B159" s="10" t="s">
        <v>896</v>
      </c>
      <c r="C159" s="10" t="s">
        <v>897</v>
      </c>
      <c r="D159" s="10" t="s">
        <v>934</v>
      </c>
      <c r="E159" s="10" t="s">
        <v>161</v>
      </c>
      <c r="F159" s="10" t="s">
        <v>1102</v>
      </c>
      <c r="G159" s="10" t="s">
        <v>1159</v>
      </c>
      <c r="H159" s="10" t="s">
        <v>172</v>
      </c>
      <c r="I159" s="10" t="s">
        <v>51</v>
      </c>
      <c r="J159" s="10" t="s">
        <v>1108</v>
      </c>
      <c r="K159" s="10" t="s">
        <v>935</v>
      </c>
      <c r="L159" s="10" t="s">
        <v>1104</v>
      </c>
      <c r="M159" s="10" t="s">
        <v>1157</v>
      </c>
      <c r="N159" s="10" t="s">
        <v>1160</v>
      </c>
      <c r="O159" s="10" t="s">
        <v>900</v>
      </c>
      <c r="P159" s="10" t="s">
        <v>175</v>
      </c>
      <c r="Q159" s="10" t="s">
        <v>175</v>
      </c>
      <c r="R159" s="10" t="s">
        <v>175</v>
      </c>
      <c r="S159" s="10" t="s">
        <v>175</v>
      </c>
      <c r="T159" s="10" t="s">
        <v>175</v>
      </c>
      <c r="U159" s="10" t="s">
        <v>175</v>
      </c>
      <c r="V159" s="10" t="s">
        <v>175</v>
      </c>
      <c r="W159" s="10" t="s">
        <v>175</v>
      </c>
      <c r="X159" s="10" t="s">
        <v>175</v>
      </c>
      <c r="Y159" s="10" t="s">
        <v>175</v>
      </c>
      <c r="Z159" s="10" t="s">
        <v>172</v>
      </c>
    </row>
    <row r="160" customFormat="false" ht="15" hidden="false" customHeight="true" outlineLevel="0" collapsed="false">
      <c r="A160" s="10" t="s">
        <v>938</v>
      </c>
      <c r="B160" s="10" t="s">
        <v>939</v>
      </c>
      <c r="C160" s="10" t="s">
        <v>940</v>
      </c>
      <c r="D160" s="10" t="s">
        <v>941</v>
      </c>
      <c r="E160" s="10" t="s">
        <v>161</v>
      </c>
      <c r="F160" s="10" t="s">
        <v>1161</v>
      </c>
      <c r="G160" s="10" t="s">
        <v>1162</v>
      </c>
      <c r="H160" s="10" t="s">
        <v>172</v>
      </c>
      <c r="I160" s="10" t="s">
        <v>62</v>
      </c>
      <c r="J160" s="10" t="s">
        <v>1108</v>
      </c>
      <c r="K160" s="10" t="s">
        <v>943</v>
      </c>
      <c r="L160" s="10" t="s">
        <v>1104</v>
      </c>
      <c r="M160" s="10" t="s">
        <v>1163</v>
      </c>
      <c r="N160" s="10" t="s">
        <v>1123</v>
      </c>
      <c r="O160" s="10" t="s">
        <v>945</v>
      </c>
      <c r="P160" s="10" t="s">
        <v>175</v>
      </c>
      <c r="Q160" s="10" t="s">
        <v>175</v>
      </c>
      <c r="R160" s="10" t="s">
        <v>175</v>
      </c>
      <c r="S160" s="10" t="s">
        <v>175</v>
      </c>
      <c r="T160" s="10" t="s">
        <v>175</v>
      </c>
      <c r="U160" s="10" t="s">
        <v>175</v>
      </c>
      <c r="V160" s="10" t="s">
        <v>175</v>
      </c>
      <c r="W160" s="10" t="s">
        <v>175</v>
      </c>
      <c r="X160" s="10" t="s">
        <v>175</v>
      </c>
      <c r="Y160" s="10" t="s">
        <v>175</v>
      </c>
      <c r="Z160" s="10" t="s">
        <v>172</v>
      </c>
    </row>
    <row r="161" customFormat="false" ht="15" hidden="false" customHeight="true" outlineLevel="0" collapsed="false">
      <c r="A161" s="10" t="s">
        <v>947</v>
      </c>
      <c r="B161" s="10" t="s">
        <v>939</v>
      </c>
      <c r="C161" s="10" t="s">
        <v>940</v>
      </c>
      <c r="D161" s="10" t="s">
        <v>948</v>
      </c>
      <c r="E161" s="10" t="s">
        <v>161</v>
      </c>
      <c r="F161" s="10" t="s">
        <v>1164</v>
      </c>
      <c r="G161" s="10" t="s">
        <v>1165</v>
      </c>
      <c r="H161" s="10" t="s">
        <v>172</v>
      </c>
      <c r="I161" s="10" t="s">
        <v>51</v>
      </c>
      <c r="J161" s="10" t="s">
        <v>198</v>
      </c>
      <c r="K161" s="10" t="s">
        <v>198</v>
      </c>
      <c r="L161" s="10" t="s">
        <v>1104</v>
      </c>
      <c r="M161" s="10" t="s">
        <v>1163</v>
      </c>
      <c r="N161" s="10" t="s">
        <v>1123</v>
      </c>
      <c r="O161" s="10" t="s">
        <v>945</v>
      </c>
      <c r="P161" s="10" t="s">
        <v>175</v>
      </c>
      <c r="Q161" s="10" t="s">
        <v>175</v>
      </c>
      <c r="R161" s="10" t="s">
        <v>175</v>
      </c>
      <c r="S161" s="10" t="s">
        <v>175</v>
      </c>
      <c r="T161" s="10" t="s">
        <v>175</v>
      </c>
      <c r="U161" s="10" t="s">
        <v>175</v>
      </c>
      <c r="V161" s="10" t="s">
        <v>175</v>
      </c>
      <c r="W161" s="10" t="s">
        <v>175</v>
      </c>
      <c r="X161" s="10" t="s">
        <v>175</v>
      </c>
      <c r="Y161" s="10" t="s">
        <v>175</v>
      </c>
      <c r="Z161" s="10" t="s">
        <v>172</v>
      </c>
    </row>
    <row r="162" customFormat="false" ht="15" hidden="false" customHeight="true" outlineLevel="0" collapsed="false">
      <c r="A162" s="10" t="s">
        <v>951</v>
      </c>
      <c r="B162" s="10" t="s">
        <v>952</v>
      </c>
      <c r="C162" s="10" t="s">
        <v>953</v>
      </c>
      <c r="D162" s="10" t="s">
        <v>954</v>
      </c>
      <c r="E162" s="10" t="s">
        <v>955</v>
      </c>
      <c r="F162" s="10" t="s">
        <v>1102</v>
      </c>
      <c r="G162" s="10" t="s">
        <v>1166</v>
      </c>
      <c r="H162" s="10" t="s">
        <v>172</v>
      </c>
      <c r="I162" s="10" t="s">
        <v>51</v>
      </c>
      <c r="J162" s="10" t="s">
        <v>198</v>
      </c>
      <c r="K162" s="10" t="s">
        <v>198</v>
      </c>
      <c r="L162" s="10" t="s">
        <v>1104</v>
      </c>
      <c r="M162" s="10" t="s">
        <v>1167</v>
      </c>
      <c r="N162" s="10" t="s">
        <v>1168</v>
      </c>
      <c r="O162" s="10" t="s">
        <v>957</v>
      </c>
      <c r="P162" s="10" t="s">
        <v>172</v>
      </c>
      <c r="Q162" s="10" t="s">
        <v>172</v>
      </c>
      <c r="R162" s="10" t="s">
        <v>175</v>
      </c>
      <c r="S162" s="10" t="s">
        <v>175</v>
      </c>
      <c r="T162" s="10" t="s">
        <v>175</v>
      </c>
      <c r="U162" s="10" t="s">
        <v>175</v>
      </c>
      <c r="V162" s="10" t="s">
        <v>175</v>
      </c>
      <c r="W162" s="10" t="s">
        <v>175</v>
      </c>
      <c r="X162" s="10" t="s">
        <v>175</v>
      </c>
      <c r="Y162" s="10" t="s">
        <v>175</v>
      </c>
      <c r="Z162" s="10" t="s">
        <v>175</v>
      </c>
    </row>
    <row r="163" customFormat="false" ht="15" hidden="false" customHeight="true" outlineLevel="0" collapsed="false">
      <c r="A163" s="10" t="s">
        <v>960</v>
      </c>
      <c r="B163" s="10" t="s">
        <v>952</v>
      </c>
      <c r="C163" s="10" t="s">
        <v>953</v>
      </c>
      <c r="D163" s="10" t="s">
        <v>961</v>
      </c>
      <c r="E163" s="10" t="s">
        <v>161</v>
      </c>
      <c r="F163" s="10" t="s">
        <v>1102</v>
      </c>
      <c r="G163" s="10" t="s">
        <v>1166</v>
      </c>
      <c r="H163" s="10" t="s">
        <v>172</v>
      </c>
      <c r="I163" s="10" t="s">
        <v>51</v>
      </c>
      <c r="J163" s="10" t="s">
        <v>198</v>
      </c>
      <c r="K163" s="10" t="s">
        <v>198</v>
      </c>
      <c r="L163" s="10" t="s">
        <v>1104</v>
      </c>
      <c r="M163" s="10" t="s">
        <v>1167</v>
      </c>
      <c r="N163" s="10" t="s">
        <v>1168</v>
      </c>
      <c r="O163" s="10" t="s">
        <v>957</v>
      </c>
      <c r="P163" s="10" t="s">
        <v>175</v>
      </c>
      <c r="Q163" s="10" t="s">
        <v>175</v>
      </c>
      <c r="R163" s="10" t="s">
        <v>175</v>
      </c>
      <c r="S163" s="10" t="s">
        <v>175</v>
      </c>
      <c r="T163" s="10" t="s">
        <v>175</v>
      </c>
      <c r="U163" s="10" t="s">
        <v>175</v>
      </c>
      <c r="V163" s="10" t="s">
        <v>175</v>
      </c>
      <c r="W163" s="10" t="s">
        <v>175</v>
      </c>
      <c r="X163" s="10" t="s">
        <v>175</v>
      </c>
      <c r="Y163" s="10" t="s">
        <v>175</v>
      </c>
      <c r="Z163" s="10" t="s">
        <v>172</v>
      </c>
    </row>
    <row r="164" customFormat="false" ht="15" hidden="false" customHeight="true" outlineLevel="0" collapsed="false">
      <c r="A164" s="10" t="s">
        <v>964</v>
      </c>
      <c r="B164" s="10" t="s">
        <v>952</v>
      </c>
      <c r="C164" s="10" t="s">
        <v>953</v>
      </c>
      <c r="D164" s="10" t="s">
        <v>965</v>
      </c>
      <c r="E164" s="10" t="s">
        <v>161</v>
      </c>
      <c r="F164" s="10" t="s">
        <v>1102</v>
      </c>
      <c r="G164" s="10" t="s">
        <v>1166</v>
      </c>
      <c r="H164" s="10" t="s">
        <v>172</v>
      </c>
      <c r="I164" s="10" t="s">
        <v>51</v>
      </c>
      <c r="J164" s="10" t="s">
        <v>198</v>
      </c>
      <c r="K164" s="10" t="s">
        <v>198</v>
      </c>
      <c r="L164" s="10" t="s">
        <v>1104</v>
      </c>
      <c r="M164" s="10" t="s">
        <v>1167</v>
      </c>
      <c r="N164" s="10" t="s">
        <v>1168</v>
      </c>
      <c r="O164" s="10" t="s">
        <v>957</v>
      </c>
      <c r="P164" s="10" t="s">
        <v>175</v>
      </c>
      <c r="Q164" s="10" t="s">
        <v>175</v>
      </c>
      <c r="R164" s="10" t="s">
        <v>175</v>
      </c>
      <c r="S164" s="10" t="s">
        <v>175</v>
      </c>
      <c r="T164" s="10" t="s">
        <v>175</v>
      </c>
      <c r="U164" s="10" t="s">
        <v>175</v>
      </c>
      <c r="V164" s="10" t="s">
        <v>175</v>
      </c>
      <c r="W164" s="10" t="s">
        <v>175</v>
      </c>
      <c r="X164" s="10" t="s">
        <v>175</v>
      </c>
      <c r="Y164" s="10" t="s">
        <v>175</v>
      </c>
      <c r="Z164" s="10" t="s">
        <v>172</v>
      </c>
    </row>
    <row r="165" customFormat="false" ht="15" hidden="false" customHeight="true" outlineLevel="0" collapsed="false">
      <c r="A165" s="10" t="s">
        <v>968</v>
      </c>
      <c r="B165" s="10" t="s">
        <v>952</v>
      </c>
      <c r="C165" s="10" t="s">
        <v>953</v>
      </c>
      <c r="D165" s="10" t="s">
        <v>969</v>
      </c>
      <c r="E165" s="10" t="s">
        <v>161</v>
      </c>
      <c r="F165" s="10" t="s">
        <v>1102</v>
      </c>
      <c r="G165" s="10" t="s">
        <v>1166</v>
      </c>
      <c r="H165" s="10" t="s">
        <v>172</v>
      </c>
      <c r="I165" s="10" t="s">
        <v>51</v>
      </c>
      <c r="J165" s="10" t="s">
        <v>198</v>
      </c>
      <c r="K165" s="10" t="s">
        <v>198</v>
      </c>
      <c r="L165" s="10" t="s">
        <v>1104</v>
      </c>
      <c r="M165" s="10" t="s">
        <v>1167</v>
      </c>
      <c r="N165" s="10" t="s">
        <v>1168</v>
      </c>
      <c r="O165" s="10" t="s">
        <v>957</v>
      </c>
      <c r="P165" s="10" t="s">
        <v>175</v>
      </c>
      <c r="Q165" s="10" t="s">
        <v>175</v>
      </c>
      <c r="R165" s="10" t="s">
        <v>175</v>
      </c>
      <c r="S165" s="10" t="s">
        <v>175</v>
      </c>
      <c r="T165" s="10" t="s">
        <v>175</v>
      </c>
      <c r="U165" s="10" t="s">
        <v>175</v>
      </c>
      <c r="V165" s="10" t="s">
        <v>175</v>
      </c>
      <c r="W165" s="10" t="s">
        <v>175</v>
      </c>
      <c r="X165" s="10" t="s">
        <v>175</v>
      </c>
      <c r="Y165" s="10" t="s">
        <v>175</v>
      </c>
      <c r="Z165" s="10" t="s">
        <v>172</v>
      </c>
    </row>
    <row r="166" customFormat="false" ht="15" hidden="false" customHeight="true" outlineLevel="0" collapsed="false">
      <c r="A166" s="10" t="s">
        <v>972</v>
      </c>
      <c r="B166" s="10" t="s">
        <v>952</v>
      </c>
      <c r="C166" s="10" t="s">
        <v>953</v>
      </c>
      <c r="D166" s="10" t="s">
        <v>973</v>
      </c>
      <c r="E166" s="10" t="s">
        <v>139</v>
      </c>
      <c r="F166" s="10" t="s">
        <v>1102</v>
      </c>
      <c r="G166" s="10" t="s">
        <v>1166</v>
      </c>
      <c r="H166" s="10" t="s">
        <v>172</v>
      </c>
      <c r="I166" s="10" t="s">
        <v>51</v>
      </c>
      <c r="J166" s="10" t="s">
        <v>198</v>
      </c>
      <c r="K166" s="10" t="s">
        <v>198</v>
      </c>
      <c r="L166" s="10" t="s">
        <v>1104</v>
      </c>
      <c r="M166" s="10" t="s">
        <v>1167</v>
      </c>
      <c r="N166" s="10" t="s">
        <v>1168</v>
      </c>
      <c r="O166" s="10" t="s">
        <v>957</v>
      </c>
      <c r="P166" s="10" t="s">
        <v>172</v>
      </c>
      <c r="Q166" s="10" t="s">
        <v>175</v>
      </c>
      <c r="R166" s="10" t="s">
        <v>175</v>
      </c>
      <c r="S166" s="10" t="s">
        <v>175</v>
      </c>
      <c r="T166" s="10" t="s">
        <v>175</v>
      </c>
      <c r="U166" s="10" t="s">
        <v>175</v>
      </c>
      <c r="V166" s="10" t="s">
        <v>175</v>
      </c>
      <c r="W166" s="10" t="s">
        <v>175</v>
      </c>
      <c r="X166" s="10" t="s">
        <v>175</v>
      </c>
      <c r="Y166" s="10" t="s">
        <v>175</v>
      </c>
      <c r="Z166" s="10" t="s">
        <v>175</v>
      </c>
    </row>
    <row r="167" customFormat="false" ht="15" hidden="false" customHeight="true" outlineLevel="0" collapsed="false">
      <c r="A167" s="10" t="s">
        <v>976</v>
      </c>
      <c r="B167" s="10" t="s">
        <v>952</v>
      </c>
      <c r="C167" s="10" t="s">
        <v>953</v>
      </c>
      <c r="D167" s="10" t="s">
        <v>977</v>
      </c>
      <c r="E167" s="10" t="s">
        <v>161</v>
      </c>
      <c r="F167" s="10" t="s">
        <v>1102</v>
      </c>
      <c r="G167" s="10" t="s">
        <v>1166</v>
      </c>
      <c r="H167" s="10" t="s">
        <v>172</v>
      </c>
      <c r="I167" s="10" t="s">
        <v>51</v>
      </c>
      <c r="J167" s="10" t="s">
        <v>1111</v>
      </c>
      <c r="K167" s="10" t="s">
        <v>978</v>
      </c>
      <c r="L167" s="10" t="s">
        <v>1104</v>
      </c>
      <c r="M167" s="10" t="s">
        <v>1167</v>
      </c>
      <c r="N167" s="10" t="s">
        <v>1168</v>
      </c>
      <c r="O167" s="10" t="s">
        <v>957</v>
      </c>
      <c r="P167" s="10" t="s">
        <v>175</v>
      </c>
      <c r="Q167" s="10" t="s">
        <v>175</v>
      </c>
      <c r="R167" s="10" t="s">
        <v>175</v>
      </c>
      <c r="S167" s="10" t="s">
        <v>175</v>
      </c>
      <c r="T167" s="10" t="s">
        <v>175</v>
      </c>
      <c r="U167" s="10" t="s">
        <v>175</v>
      </c>
      <c r="V167" s="10" t="s">
        <v>175</v>
      </c>
      <c r="W167" s="10" t="s">
        <v>175</v>
      </c>
      <c r="X167" s="10" t="s">
        <v>175</v>
      </c>
      <c r="Y167" s="10" t="s">
        <v>175</v>
      </c>
      <c r="Z167" s="10" t="s">
        <v>172</v>
      </c>
    </row>
    <row r="168" customFormat="false" ht="15" hidden="false" customHeight="true" outlineLevel="0" collapsed="false">
      <c r="A168" s="10" t="s">
        <v>981</v>
      </c>
      <c r="B168" s="10" t="s">
        <v>952</v>
      </c>
      <c r="C168" s="10" t="s">
        <v>953</v>
      </c>
      <c r="D168" s="10" t="s">
        <v>982</v>
      </c>
      <c r="E168" s="10" t="s">
        <v>161</v>
      </c>
      <c r="F168" s="10" t="s">
        <v>1102</v>
      </c>
      <c r="G168" s="10" t="s">
        <v>1166</v>
      </c>
      <c r="H168" s="10" t="s">
        <v>172</v>
      </c>
      <c r="I168" s="10" t="s">
        <v>51</v>
      </c>
      <c r="J168" s="10" t="s">
        <v>198</v>
      </c>
      <c r="K168" s="10" t="s">
        <v>198</v>
      </c>
      <c r="L168" s="10" t="s">
        <v>1104</v>
      </c>
      <c r="M168" s="10" t="s">
        <v>1167</v>
      </c>
      <c r="N168" s="10" t="s">
        <v>1168</v>
      </c>
      <c r="O168" s="10" t="s">
        <v>957</v>
      </c>
      <c r="P168" s="10" t="s">
        <v>175</v>
      </c>
      <c r="Q168" s="10" t="s">
        <v>175</v>
      </c>
      <c r="R168" s="10" t="s">
        <v>175</v>
      </c>
      <c r="S168" s="10" t="s">
        <v>175</v>
      </c>
      <c r="T168" s="10" t="s">
        <v>175</v>
      </c>
      <c r="U168" s="10" t="s">
        <v>175</v>
      </c>
      <c r="V168" s="10" t="s">
        <v>175</v>
      </c>
      <c r="W168" s="10" t="s">
        <v>175</v>
      </c>
      <c r="X168" s="10" t="s">
        <v>175</v>
      </c>
      <c r="Y168" s="10" t="s">
        <v>175</v>
      </c>
      <c r="Z168" s="10" t="s">
        <v>172</v>
      </c>
    </row>
    <row r="169" customFormat="false" ht="15" hidden="false" customHeight="true" outlineLevel="0" collapsed="false">
      <c r="A169" s="10" t="s">
        <v>985</v>
      </c>
      <c r="B169" s="10" t="s">
        <v>952</v>
      </c>
      <c r="C169" s="10" t="s">
        <v>953</v>
      </c>
      <c r="D169" s="10" t="s">
        <v>986</v>
      </c>
      <c r="E169" s="10" t="s">
        <v>161</v>
      </c>
      <c r="F169" s="10" t="s">
        <v>1102</v>
      </c>
      <c r="G169" s="10" t="s">
        <v>1166</v>
      </c>
      <c r="H169" s="10" t="s">
        <v>172</v>
      </c>
      <c r="I169" s="10" t="s">
        <v>51</v>
      </c>
      <c r="J169" s="10" t="s">
        <v>198</v>
      </c>
      <c r="K169" s="10" t="s">
        <v>198</v>
      </c>
      <c r="L169" s="10" t="s">
        <v>1104</v>
      </c>
      <c r="M169" s="10" t="s">
        <v>1167</v>
      </c>
      <c r="N169" s="10" t="s">
        <v>1168</v>
      </c>
      <c r="O169" s="10" t="s">
        <v>957</v>
      </c>
      <c r="P169" s="10" t="s">
        <v>175</v>
      </c>
      <c r="Q169" s="10" t="s">
        <v>175</v>
      </c>
      <c r="R169" s="10" t="s">
        <v>175</v>
      </c>
      <c r="S169" s="10" t="s">
        <v>175</v>
      </c>
      <c r="T169" s="10" t="s">
        <v>175</v>
      </c>
      <c r="U169" s="10" t="s">
        <v>175</v>
      </c>
      <c r="V169" s="10" t="s">
        <v>175</v>
      </c>
      <c r="W169" s="10" t="s">
        <v>175</v>
      </c>
      <c r="X169" s="10" t="s">
        <v>175</v>
      </c>
      <c r="Y169" s="10" t="s">
        <v>175</v>
      </c>
      <c r="Z169" s="10" t="s">
        <v>172</v>
      </c>
    </row>
    <row r="170" customFormat="false" ht="15" hidden="false" customHeight="true" outlineLevel="0" collapsed="false">
      <c r="A170" s="10" t="s">
        <v>989</v>
      </c>
      <c r="B170" s="10" t="s">
        <v>952</v>
      </c>
      <c r="C170" s="10" t="s">
        <v>953</v>
      </c>
      <c r="D170" s="10" t="s">
        <v>990</v>
      </c>
      <c r="E170" s="10" t="s">
        <v>161</v>
      </c>
      <c r="F170" s="10" t="s">
        <v>1102</v>
      </c>
      <c r="G170" s="10" t="s">
        <v>1169</v>
      </c>
      <c r="H170" s="10" t="s">
        <v>169</v>
      </c>
      <c r="I170" s="10" t="s">
        <v>51</v>
      </c>
      <c r="J170" s="10" t="s">
        <v>198</v>
      </c>
      <c r="K170" s="10" t="s">
        <v>991</v>
      </c>
      <c r="L170" s="10" t="s">
        <v>1104</v>
      </c>
      <c r="M170" s="10" t="s">
        <v>1167</v>
      </c>
      <c r="N170" s="10" t="s">
        <v>1170</v>
      </c>
      <c r="O170" s="10" t="s">
        <v>957</v>
      </c>
      <c r="P170" s="10" t="s">
        <v>175</v>
      </c>
      <c r="Q170" s="10" t="s">
        <v>175</v>
      </c>
      <c r="R170" s="10" t="s">
        <v>175</v>
      </c>
      <c r="S170" s="10" t="s">
        <v>175</v>
      </c>
      <c r="T170" s="10" t="s">
        <v>175</v>
      </c>
      <c r="U170" s="10" t="s">
        <v>175</v>
      </c>
      <c r="V170" s="10" t="s">
        <v>175</v>
      </c>
      <c r="W170" s="10" t="s">
        <v>175</v>
      </c>
      <c r="X170" s="10" t="s">
        <v>175</v>
      </c>
      <c r="Y170" s="10" t="s">
        <v>175</v>
      </c>
      <c r="Z170" s="10" t="s">
        <v>169</v>
      </c>
    </row>
    <row r="171" customFormat="false" ht="15" hidden="false" customHeight="true" outlineLevel="0" collapsed="false">
      <c r="A171" s="10" t="s">
        <v>994</v>
      </c>
      <c r="B171" s="10" t="s">
        <v>952</v>
      </c>
      <c r="C171" s="10" t="s">
        <v>953</v>
      </c>
      <c r="D171" s="10" t="s">
        <v>995</v>
      </c>
      <c r="E171" s="10" t="s">
        <v>161</v>
      </c>
      <c r="F171" s="10" t="s">
        <v>1102</v>
      </c>
      <c r="G171" s="10" t="s">
        <v>1169</v>
      </c>
      <c r="H171" s="10" t="s">
        <v>169</v>
      </c>
      <c r="I171" s="10" t="s">
        <v>51</v>
      </c>
      <c r="J171" s="10" t="s">
        <v>198</v>
      </c>
      <c r="K171" s="10" t="s">
        <v>996</v>
      </c>
      <c r="L171" s="10" t="s">
        <v>1104</v>
      </c>
      <c r="M171" s="10" t="s">
        <v>1167</v>
      </c>
      <c r="N171" s="10" t="s">
        <v>1170</v>
      </c>
      <c r="O171" s="10" t="s">
        <v>957</v>
      </c>
      <c r="P171" s="10" t="s">
        <v>175</v>
      </c>
      <c r="Q171" s="10" t="s">
        <v>175</v>
      </c>
      <c r="R171" s="10" t="s">
        <v>175</v>
      </c>
      <c r="S171" s="10" t="s">
        <v>175</v>
      </c>
      <c r="T171" s="10" t="s">
        <v>175</v>
      </c>
      <c r="U171" s="10" t="s">
        <v>175</v>
      </c>
      <c r="V171" s="10" t="s">
        <v>175</v>
      </c>
      <c r="W171" s="10" t="s">
        <v>175</v>
      </c>
      <c r="X171" s="10" t="s">
        <v>175</v>
      </c>
      <c r="Y171" s="10" t="s">
        <v>175</v>
      </c>
      <c r="Z171" s="10" t="s">
        <v>169</v>
      </c>
    </row>
    <row r="172" customFormat="false" ht="15" hidden="false" customHeight="true" outlineLevel="0" collapsed="false">
      <c r="A172" s="10" t="s">
        <v>999</v>
      </c>
      <c r="B172" s="10" t="s">
        <v>952</v>
      </c>
      <c r="C172" s="10" t="s">
        <v>953</v>
      </c>
      <c r="D172" s="10" t="s">
        <v>1000</v>
      </c>
      <c r="E172" s="10" t="s">
        <v>161</v>
      </c>
      <c r="F172" s="10" t="s">
        <v>1102</v>
      </c>
      <c r="G172" s="10" t="s">
        <v>1166</v>
      </c>
      <c r="H172" s="10" t="s">
        <v>172</v>
      </c>
      <c r="I172" s="10" t="s">
        <v>51</v>
      </c>
      <c r="J172" s="10" t="s">
        <v>198</v>
      </c>
      <c r="K172" s="10" t="s">
        <v>198</v>
      </c>
      <c r="L172" s="10" t="s">
        <v>1104</v>
      </c>
      <c r="M172" s="10" t="s">
        <v>1167</v>
      </c>
      <c r="N172" s="10" t="s">
        <v>1168</v>
      </c>
      <c r="O172" s="10" t="s">
        <v>957</v>
      </c>
      <c r="P172" s="10" t="s">
        <v>175</v>
      </c>
      <c r="Q172" s="10" t="s">
        <v>175</v>
      </c>
      <c r="R172" s="10" t="s">
        <v>175</v>
      </c>
      <c r="S172" s="10" t="s">
        <v>175</v>
      </c>
      <c r="T172" s="10" t="s">
        <v>175</v>
      </c>
      <c r="U172" s="10" t="s">
        <v>175</v>
      </c>
      <c r="V172" s="10" t="s">
        <v>175</v>
      </c>
      <c r="W172" s="10" t="s">
        <v>175</v>
      </c>
      <c r="X172" s="10" t="s">
        <v>175</v>
      </c>
      <c r="Y172" s="10" t="s">
        <v>175</v>
      </c>
      <c r="Z172" s="10" t="s">
        <v>172</v>
      </c>
    </row>
    <row r="173" customFormat="false" ht="15" hidden="false" customHeight="true" outlineLevel="0" collapsed="false">
      <c r="A173" s="10" t="s">
        <v>1003</v>
      </c>
      <c r="B173" s="10" t="s">
        <v>952</v>
      </c>
      <c r="C173" s="10" t="s">
        <v>953</v>
      </c>
      <c r="D173" s="10" t="s">
        <v>1004</v>
      </c>
      <c r="E173" s="10" t="s">
        <v>161</v>
      </c>
      <c r="F173" s="10" t="s">
        <v>1102</v>
      </c>
      <c r="G173" s="10" t="s">
        <v>1166</v>
      </c>
      <c r="H173" s="10" t="s">
        <v>172</v>
      </c>
      <c r="I173" s="10" t="s">
        <v>51</v>
      </c>
      <c r="J173" s="10" t="s">
        <v>198</v>
      </c>
      <c r="K173" s="10" t="s">
        <v>198</v>
      </c>
      <c r="L173" s="10" t="s">
        <v>1104</v>
      </c>
      <c r="M173" s="10" t="s">
        <v>1167</v>
      </c>
      <c r="N173" s="10" t="s">
        <v>1168</v>
      </c>
      <c r="O173" s="10" t="s">
        <v>957</v>
      </c>
      <c r="P173" s="10" t="s">
        <v>175</v>
      </c>
      <c r="Q173" s="10" t="s">
        <v>175</v>
      </c>
      <c r="R173" s="10" t="s">
        <v>175</v>
      </c>
      <c r="S173" s="10" t="s">
        <v>175</v>
      </c>
      <c r="T173" s="10" t="s">
        <v>175</v>
      </c>
      <c r="U173" s="10" t="s">
        <v>175</v>
      </c>
      <c r="V173" s="10" t="s">
        <v>175</v>
      </c>
      <c r="W173" s="10" t="s">
        <v>175</v>
      </c>
      <c r="X173" s="10" t="s">
        <v>175</v>
      </c>
      <c r="Y173" s="10" t="s">
        <v>175</v>
      </c>
      <c r="Z173" s="10" t="s">
        <v>172</v>
      </c>
    </row>
    <row r="174" customFormat="false" ht="15" hidden="false" customHeight="true" outlineLevel="0" collapsed="false">
      <c r="A174" s="10" t="s">
        <v>1007</v>
      </c>
      <c r="B174" s="10" t="s">
        <v>952</v>
      </c>
      <c r="C174" s="10" t="s">
        <v>953</v>
      </c>
      <c r="D174" s="10" t="s">
        <v>1008</v>
      </c>
      <c r="E174" s="10" t="s">
        <v>161</v>
      </c>
      <c r="F174" s="10" t="s">
        <v>1102</v>
      </c>
      <c r="G174" s="10" t="s">
        <v>1166</v>
      </c>
      <c r="H174" s="10" t="s">
        <v>172</v>
      </c>
      <c r="I174" s="10" t="s">
        <v>51</v>
      </c>
      <c r="J174" s="10" t="s">
        <v>198</v>
      </c>
      <c r="K174" s="10" t="s">
        <v>198</v>
      </c>
      <c r="L174" s="10" t="s">
        <v>1104</v>
      </c>
      <c r="M174" s="10" t="s">
        <v>1167</v>
      </c>
      <c r="N174" s="10" t="s">
        <v>1168</v>
      </c>
      <c r="O174" s="10" t="s">
        <v>957</v>
      </c>
      <c r="P174" s="10" t="s">
        <v>175</v>
      </c>
      <c r="Q174" s="10" t="s">
        <v>175</v>
      </c>
      <c r="R174" s="10" t="s">
        <v>175</v>
      </c>
      <c r="S174" s="10" t="s">
        <v>175</v>
      </c>
      <c r="T174" s="10" t="s">
        <v>175</v>
      </c>
      <c r="U174" s="10" t="s">
        <v>175</v>
      </c>
      <c r="V174" s="10" t="s">
        <v>175</v>
      </c>
      <c r="W174" s="10" t="s">
        <v>175</v>
      </c>
      <c r="X174" s="10" t="s">
        <v>175</v>
      </c>
      <c r="Y174" s="10" t="s">
        <v>175</v>
      </c>
      <c r="Z174" s="10" t="s">
        <v>172</v>
      </c>
    </row>
    <row r="175" customFormat="false" ht="15" hidden="false" customHeight="true" outlineLevel="0" collapsed="false">
      <c r="A175" s="10" t="s">
        <v>1011</v>
      </c>
      <c r="B175" s="10" t="s">
        <v>952</v>
      </c>
      <c r="C175" s="10" t="s">
        <v>953</v>
      </c>
      <c r="D175" s="10" t="s">
        <v>203</v>
      </c>
      <c r="E175" s="10" t="s">
        <v>161</v>
      </c>
      <c r="F175" s="10" t="s">
        <v>1102</v>
      </c>
      <c r="G175" s="10" t="s">
        <v>1166</v>
      </c>
      <c r="H175" s="10" t="s">
        <v>172</v>
      </c>
      <c r="I175" s="10" t="s">
        <v>51</v>
      </c>
      <c r="J175" s="10" t="s">
        <v>1111</v>
      </c>
      <c r="K175" s="10" t="s">
        <v>514</v>
      </c>
      <c r="L175" s="10" t="s">
        <v>1104</v>
      </c>
      <c r="M175" s="10" t="s">
        <v>1167</v>
      </c>
      <c r="N175" s="10" t="s">
        <v>1168</v>
      </c>
      <c r="O175" s="10" t="s">
        <v>957</v>
      </c>
      <c r="P175" s="10" t="s">
        <v>175</v>
      </c>
      <c r="Q175" s="10" t="s">
        <v>175</v>
      </c>
      <c r="R175" s="10" t="s">
        <v>175</v>
      </c>
      <c r="S175" s="10" t="s">
        <v>175</v>
      </c>
      <c r="T175" s="10" t="s">
        <v>175</v>
      </c>
      <c r="U175" s="10" t="s">
        <v>175</v>
      </c>
      <c r="V175" s="10" t="s">
        <v>175</v>
      </c>
      <c r="W175" s="10" t="s">
        <v>175</v>
      </c>
      <c r="X175" s="10" t="s">
        <v>175</v>
      </c>
      <c r="Y175" s="10" t="s">
        <v>175</v>
      </c>
      <c r="Z175" s="10" t="s">
        <v>172</v>
      </c>
    </row>
    <row r="176" customFormat="false" ht="15" hidden="false" customHeight="true" outlineLevel="0" collapsed="false">
      <c r="A176" s="10" t="s">
        <v>1014</v>
      </c>
      <c r="B176" s="10" t="s">
        <v>952</v>
      </c>
      <c r="C176" s="10" t="s">
        <v>953</v>
      </c>
      <c r="D176" s="10" t="s">
        <v>1015</v>
      </c>
      <c r="E176" s="10" t="s">
        <v>161</v>
      </c>
      <c r="F176" s="10" t="s">
        <v>1102</v>
      </c>
      <c r="G176" s="10" t="s">
        <v>1166</v>
      </c>
      <c r="H176" s="10" t="s">
        <v>172</v>
      </c>
      <c r="I176" s="10" t="s">
        <v>51</v>
      </c>
      <c r="J176" s="10" t="s">
        <v>198</v>
      </c>
      <c r="K176" s="10" t="s">
        <v>1016</v>
      </c>
      <c r="L176" s="10" t="s">
        <v>1104</v>
      </c>
      <c r="M176" s="10" t="s">
        <v>1167</v>
      </c>
      <c r="N176" s="10" t="s">
        <v>1168</v>
      </c>
      <c r="O176" s="10" t="s">
        <v>957</v>
      </c>
      <c r="P176" s="10" t="s">
        <v>175</v>
      </c>
      <c r="Q176" s="10" t="s">
        <v>175</v>
      </c>
      <c r="R176" s="10" t="s">
        <v>175</v>
      </c>
      <c r="S176" s="10" t="s">
        <v>175</v>
      </c>
      <c r="T176" s="10" t="s">
        <v>175</v>
      </c>
      <c r="U176" s="10" t="s">
        <v>175</v>
      </c>
      <c r="V176" s="10" t="s">
        <v>175</v>
      </c>
      <c r="W176" s="10" t="s">
        <v>175</v>
      </c>
      <c r="X176" s="10" t="s">
        <v>175</v>
      </c>
      <c r="Y176" s="10" t="s">
        <v>175</v>
      </c>
      <c r="Z176" s="10" t="s">
        <v>172</v>
      </c>
    </row>
    <row r="177" customFormat="false" ht="15" hidden="false" customHeight="true" outlineLevel="0" collapsed="false">
      <c r="A177" s="10" t="s">
        <v>1019</v>
      </c>
      <c r="B177" s="10" t="s">
        <v>952</v>
      </c>
      <c r="C177" s="10" t="s">
        <v>953</v>
      </c>
      <c r="D177" s="10" t="s">
        <v>216</v>
      </c>
      <c r="E177" s="10" t="s">
        <v>161</v>
      </c>
      <c r="F177" s="10" t="s">
        <v>1102</v>
      </c>
      <c r="G177" s="10" t="s">
        <v>1169</v>
      </c>
      <c r="H177" s="10" t="s">
        <v>169</v>
      </c>
      <c r="I177" s="10" t="s">
        <v>51</v>
      </c>
      <c r="J177" s="10" t="s">
        <v>198</v>
      </c>
      <c r="K177" s="10" t="s">
        <v>198</v>
      </c>
      <c r="L177" s="10" t="s">
        <v>1104</v>
      </c>
      <c r="M177" s="10" t="s">
        <v>1167</v>
      </c>
      <c r="N177" s="10" t="s">
        <v>1170</v>
      </c>
      <c r="O177" s="10" t="s">
        <v>957</v>
      </c>
      <c r="P177" s="10" t="s">
        <v>175</v>
      </c>
      <c r="Q177" s="10" t="s">
        <v>175</v>
      </c>
      <c r="R177" s="10" t="s">
        <v>175</v>
      </c>
      <c r="S177" s="10" t="s">
        <v>175</v>
      </c>
      <c r="T177" s="10" t="s">
        <v>175</v>
      </c>
      <c r="U177" s="10" t="s">
        <v>175</v>
      </c>
      <c r="V177" s="10" t="s">
        <v>175</v>
      </c>
      <c r="W177" s="10" t="s">
        <v>175</v>
      </c>
      <c r="X177" s="10" t="s">
        <v>175</v>
      </c>
      <c r="Y177" s="10" t="s">
        <v>175</v>
      </c>
      <c r="Z177" s="10" t="s">
        <v>169</v>
      </c>
    </row>
  </sheetData>
  <autoFilter ref="A1:Z1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11" min="3" style="1" width="13"/>
  </cols>
  <sheetData>
    <row r="1" customFormat="false" ht="17.25" hidden="false" customHeight="true" outlineLevel="0" collapsed="false">
      <c r="A1" s="18" t="s">
        <v>1171</v>
      </c>
    </row>
    <row r="2" customFormat="false" ht="15" hidden="false" customHeight="true" outlineLevel="0" collapsed="false">
      <c r="A2" s="20" t="s">
        <v>1172</v>
      </c>
    </row>
    <row r="4" customFormat="false" ht="23.25" hidden="false" customHeight="true" outlineLevel="0" collapsed="false">
      <c r="A4" s="28" t="s">
        <v>136</v>
      </c>
      <c r="B4" s="28" t="s">
        <v>137</v>
      </c>
      <c r="C4" s="28" t="s">
        <v>194</v>
      </c>
      <c r="D4" s="28" t="s">
        <v>389</v>
      </c>
      <c r="E4" s="28" t="s">
        <v>530</v>
      </c>
      <c r="F4" s="28" t="s">
        <v>758</v>
      </c>
      <c r="G4" s="28" t="s">
        <v>816</v>
      </c>
      <c r="H4" s="28" t="s">
        <v>896</v>
      </c>
      <c r="I4" s="28" t="s">
        <v>939</v>
      </c>
      <c r="J4" s="28" t="s">
        <v>952</v>
      </c>
      <c r="K4" s="28" t="s">
        <v>315</v>
      </c>
    </row>
    <row r="5" customFormat="false" ht="15" hidden="false" customHeight="true" outlineLevel="0" collapsed="false">
      <c r="A5" s="8" t="s">
        <v>139</v>
      </c>
      <c r="B5" s="10" t="s">
        <v>140</v>
      </c>
      <c r="C5" s="17" t="str">
        <f aca="false">IF(COUNTIFS(Auditoria_ECG0!$B$2:$B$177,"Cuenta básica",Auditoria_ECG0!$P$2:$P$177,"E")&gt;0,"E",IF(COUNTIFS(Auditoria_ECG0!$B$2:$B$177,"Cuenta básica",Auditoria_ECG0!$P$2:$P$177,"C")&gt;0,"C",IF(COUNTIFS(Auditoria_ECG0!$B$2:$B$177,"Cuenta básica",Auditoria_ECG0!$P$2:$P$177,"G")&gt;0,"G","0")))</f>
        <v>C</v>
      </c>
      <c r="D5" s="17" t="str">
        <f aca="false">IF(COUNTIFS(Auditoria_ECG0!$B$2:$B$177,"AML",Auditoria_ECG0!$P$2:$P$177,"E")&gt;0,"E",IF(COUNTIFS(Auditoria_ECG0!$B$2:$B$177,"AML",Auditoria_ECG0!$P$2:$P$177,"C")&gt;0,"C",IF(COUNTIFS(Auditoria_ECG0!$B$2:$B$177,"AML",Auditoria_ECG0!$P$2:$P$177,"G")&gt;0,"G","0")))</f>
        <v>E</v>
      </c>
      <c r="E5" s="17" t="str">
        <f aca="false">IF(COUNTIFS(Auditoria_ECG0!$B$2:$B$177,"Directrices EBA",Auditoria_ECG0!$P$2:$P$177,"E")&gt;0,"E",IF(COUNTIFS(Auditoria_ECG0!$B$2:$B$177,"Directrices EBA",Auditoria_ECG0!$P$2:$P$177,"C")&gt;0,"C",IF(COUNTIFS(Auditoria_ECG0!$B$2:$B$177,"Directrices EBA",Auditoria_ECG0!$P$2:$P$177,"G")&gt;0,"G","0")))</f>
        <v>C</v>
      </c>
      <c r="F5" s="17" t="str">
        <f aca="false">IF(COUNTIFS(Auditoria_ECG0!$B$2:$B$177,"RGPD",Auditoria_ECG0!$P$2:$P$177,"E")&gt;0,"E",IF(COUNTIFS(Auditoria_ECG0!$B$2:$B$177,"RGPD",Auditoria_ECG0!$P$2:$P$177,"C")&gt;0,"C",IF(COUNTIFS(Auditoria_ECG0!$B$2:$B$177,"RGPD",Auditoria_ECG0!$P$2:$P$177,"G")&gt;0,"G","0")))</f>
        <v>G</v>
      </c>
      <c r="G5" s="17" t="str">
        <f aca="false">IF(COUNTIFS(Auditoria_ECG0!$B$2:$B$177,"AI Act",Auditoria_ECG0!$P$2:$P$177,"E")&gt;0,"E",IF(COUNTIFS(Auditoria_ECG0!$B$2:$B$177,"AI Act",Auditoria_ECG0!$P$2:$P$177,"C")&gt;0,"C",IF(COUNTIFS(Auditoria_ECG0!$B$2:$B$177,"AI Act",Auditoria_ECG0!$P$2:$P$177,"G")&gt;0,"G","0")))</f>
        <v>C</v>
      </c>
      <c r="H5" s="17" t="str">
        <f aca="false">IF(COUNTIFS(Auditoria_ECG0!$B$2:$B$177,"DORA",Auditoria_ECG0!$P$2:$P$177,"E")&gt;0,"E",IF(COUNTIFS(Auditoria_ECG0!$B$2:$B$177,"DORA",Auditoria_ECG0!$P$2:$P$177,"C")&gt;0,"C",IF(COUNTIFS(Auditoria_ECG0!$B$2:$B$177,"DORA",Auditoria_ECG0!$P$2:$P$177,"G")&gt;0,"G","0")))</f>
        <v>0</v>
      </c>
      <c r="I5" s="17" t="str">
        <f aca="false">IF(COUNTIFS(Auditoria_ECG0!$B$2:$B$177,"eIDAS 2",Auditoria_ECG0!$P$2:$P$177,"E")&gt;0,"E",IF(COUNTIFS(Auditoria_ECG0!$B$2:$B$177,"eIDAS 2",Auditoria_ECG0!$P$2:$P$177,"C")&gt;0,"C",IF(COUNTIFS(Auditoria_ECG0!$B$2:$B$177,"eIDAS 2",Auditoria_ECG0!$P$2:$P$177,"G")&gt;0,"G","0")))</f>
        <v>0</v>
      </c>
      <c r="J5" s="17" t="str">
        <f aca="false">IF(COUNTIFS(Auditoria_ECG0!$B$2:$B$177,"Accesibilidad",Auditoria_ECG0!$P$2:$P$177,"E")&gt;0,"E",IF(COUNTIFS(Auditoria_ECG0!$B$2:$B$177,"Accesibilidad",Auditoria_ECG0!$P$2:$P$177,"C")&gt;0,"C",IF(COUNTIFS(Auditoria_ECG0!$B$2:$B$177,"Accesibilidad",Auditoria_ECG0!$P$2:$P$177,"G")&gt;0,"G","0")))</f>
        <v>G</v>
      </c>
      <c r="K5" s="17" t="str">
        <f aca="false">IF(COUNTIFS(Auditoria_ECG0!$B$2:$B$177,"Atención al cliente ES",Auditoria_ECG0!$P$2:$P$177,"E")&gt;0,"E",IF(COUNTIFS(Auditoria_ECG0!$B$2:$B$177,"Atención al cliente ES",Auditoria_ECG0!$P$2:$P$177,"C")&gt;0,"C",IF(COUNTIFS(Auditoria_ECG0!$B$2:$B$177,"Atención al cliente ES",Auditoria_ECG0!$P$2:$P$177,"G")&gt;0,"G","0")))</f>
        <v>C</v>
      </c>
    </row>
    <row r="6" customFormat="false" ht="15" hidden="false" customHeight="true" outlineLevel="0" collapsed="false">
      <c r="A6" s="8" t="s">
        <v>142</v>
      </c>
      <c r="B6" s="10" t="s">
        <v>143</v>
      </c>
      <c r="C6" s="17" t="str">
        <f aca="false">IF(COUNTIFS(Auditoria_ECG0!$B$2:$B$177,"Cuenta básica",Auditoria_ECG0!$Q$2:$Q$177,"E")&gt;0,"E",IF(COUNTIFS(Auditoria_ECG0!$B$2:$B$177,"Cuenta básica",Auditoria_ECG0!$Q$2:$Q$177,"C")&gt;0,"C",IF(COUNTIFS(Auditoria_ECG0!$B$2:$B$177,"Cuenta básica",Auditoria_ECG0!$Q$2:$Q$177,"G")&gt;0,"G","0")))</f>
        <v>0</v>
      </c>
      <c r="D6" s="17" t="str">
        <f aca="false">IF(COUNTIFS(Auditoria_ECG0!$B$2:$B$177,"AML",Auditoria_ECG0!$Q$2:$Q$177,"E")&gt;0,"E",IF(COUNTIFS(Auditoria_ECG0!$B$2:$B$177,"AML",Auditoria_ECG0!$Q$2:$Q$177,"C")&gt;0,"C",IF(COUNTIFS(Auditoria_ECG0!$B$2:$B$177,"AML",Auditoria_ECG0!$Q$2:$Q$177,"G")&gt;0,"G","0")))</f>
        <v>C</v>
      </c>
      <c r="E6" s="17" t="str">
        <f aca="false">IF(COUNTIFS(Auditoria_ECG0!$B$2:$B$177,"Directrices EBA",Auditoria_ECG0!$Q$2:$Q$177,"E")&gt;0,"E",IF(COUNTIFS(Auditoria_ECG0!$B$2:$B$177,"Directrices EBA",Auditoria_ECG0!$Q$2:$Q$177,"C")&gt;0,"C",IF(COUNTIFS(Auditoria_ECG0!$B$2:$B$177,"Directrices EBA",Auditoria_ECG0!$Q$2:$Q$177,"G")&gt;0,"G","0")))</f>
        <v>0</v>
      </c>
      <c r="F6" s="17" t="str">
        <f aca="false">IF(COUNTIFS(Auditoria_ECG0!$B$2:$B$177,"RGPD",Auditoria_ECG0!$Q$2:$Q$177,"E")&gt;0,"E",IF(COUNTIFS(Auditoria_ECG0!$B$2:$B$177,"RGPD",Auditoria_ECG0!$Q$2:$Q$177,"C")&gt;0,"C",IF(COUNTIFS(Auditoria_ECG0!$B$2:$B$177,"RGPD",Auditoria_ECG0!$Q$2:$Q$177,"G")&gt;0,"G","0")))</f>
        <v>0</v>
      </c>
      <c r="G6" s="17" t="str">
        <f aca="false">IF(COUNTIFS(Auditoria_ECG0!$B$2:$B$177,"AI Act",Auditoria_ECG0!$Q$2:$Q$177,"E")&gt;0,"E",IF(COUNTIFS(Auditoria_ECG0!$B$2:$B$177,"AI Act",Auditoria_ECG0!$Q$2:$Q$177,"C")&gt;0,"C",IF(COUNTIFS(Auditoria_ECG0!$B$2:$B$177,"AI Act",Auditoria_ECG0!$Q$2:$Q$177,"G")&gt;0,"G","0")))</f>
        <v>0</v>
      </c>
      <c r="H6" s="17" t="str">
        <f aca="false">IF(COUNTIFS(Auditoria_ECG0!$B$2:$B$177,"DORA",Auditoria_ECG0!$Q$2:$Q$177,"E")&gt;0,"E",IF(COUNTIFS(Auditoria_ECG0!$B$2:$B$177,"DORA",Auditoria_ECG0!$Q$2:$Q$177,"C")&gt;0,"C",IF(COUNTIFS(Auditoria_ECG0!$B$2:$B$177,"DORA",Auditoria_ECG0!$Q$2:$Q$177,"G")&gt;0,"G","0")))</f>
        <v>0</v>
      </c>
      <c r="I6" s="17" t="str">
        <f aca="false">IF(COUNTIFS(Auditoria_ECG0!$B$2:$B$177,"eIDAS 2",Auditoria_ECG0!$Q$2:$Q$177,"E")&gt;0,"E",IF(COUNTIFS(Auditoria_ECG0!$B$2:$B$177,"eIDAS 2",Auditoria_ECG0!$Q$2:$Q$177,"C")&gt;0,"C",IF(COUNTIFS(Auditoria_ECG0!$B$2:$B$177,"eIDAS 2",Auditoria_ECG0!$Q$2:$Q$177,"G")&gt;0,"G","0")))</f>
        <v>0</v>
      </c>
      <c r="J6" s="17" t="str">
        <f aca="false">IF(COUNTIFS(Auditoria_ECG0!$B$2:$B$177,"Accesibilidad",Auditoria_ECG0!$Q$2:$Q$177,"E")&gt;0,"E",IF(COUNTIFS(Auditoria_ECG0!$B$2:$B$177,"Accesibilidad",Auditoria_ECG0!$Q$2:$Q$177,"C")&gt;0,"C",IF(COUNTIFS(Auditoria_ECG0!$B$2:$B$177,"Accesibilidad",Auditoria_ECG0!$Q$2:$Q$177,"G")&gt;0,"G","0")))</f>
        <v>G</v>
      </c>
      <c r="K6" s="17" t="str">
        <f aca="false">IF(COUNTIFS(Auditoria_ECG0!$B$2:$B$177,"Atención al cliente ES",Auditoria_ECG0!$Q$2:$Q$177,"E")&gt;0,"E",IF(COUNTIFS(Auditoria_ECG0!$B$2:$B$177,"Atención al cliente ES",Auditoria_ECG0!$Q$2:$Q$177,"C")&gt;0,"C",IF(COUNTIFS(Auditoria_ECG0!$B$2:$B$177,"Atención al cliente ES",Auditoria_ECG0!$Q$2:$Q$177,"G")&gt;0,"G","0")))</f>
        <v>0</v>
      </c>
    </row>
    <row r="7" customFormat="false" ht="15" hidden="false" customHeight="true" outlineLevel="0" collapsed="false">
      <c r="A7" s="8" t="s">
        <v>144</v>
      </c>
      <c r="B7" s="10" t="s">
        <v>145</v>
      </c>
      <c r="C7" s="17" t="str">
        <f aca="false">IF(COUNTIFS(Auditoria_ECG0!$B$2:$B$177,"Cuenta básica",Auditoria_ECG0!$R$2:$R$177,"E")&gt;0,"E",IF(COUNTIFS(Auditoria_ECG0!$B$2:$B$177,"Cuenta básica",Auditoria_ECG0!$R$2:$R$177,"C")&gt;0,"C",IF(COUNTIFS(Auditoria_ECG0!$B$2:$B$177,"Cuenta básica",Auditoria_ECG0!$R$2:$R$177,"G")&gt;0,"G","0")))</f>
        <v>0</v>
      </c>
      <c r="D7" s="17" t="str">
        <f aca="false">IF(COUNTIFS(Auditoria_ECG0!$B$2:$B$177,"AML",Auditoria_ECG0!$R$2:$R$177,"E")&gt;0,"E",IF(COUNTIFS(Auditoria_ECG0!$B$2:$B$177,"AML",Auditoria_ECG0!$R$2:$R$177,"C")&gt;0,"C",IF(COUNTIFS(Auditoria_ECG0!$B$2:$B$177,"AML",Auditoria_ECG0!$R$2:$R$177,"G")&gt;0,"G","0")))</f>
        <v>C</v>
      </c>
      <c r="E7" s="17" t="str">
        <f aca="false">IF(COUNTIFS(Auditoria_ECG0!$B$2:$B$177,"Directrices EBA",Auditoria_ECG0!$R$2:$R$177,"E")&gt;0,"E",IF(COUNTIFS(Auditoria_ECG0!$B$2:$B$177,"Directrices EBA",Auditoria_ECG0!$R$2:$R$177,"C")&gt;0,"C",IF(COUNTIFS(Auditoria_ECG0!$B$2:$B$177,"Directrices EBA",Auditoria_ECG0!$R$2:$R$177,"G")&gt;0,"G","0")))</f>
        <v>C</v>
      </c>
      <c r="F7" s="17" t="str">
        <f aca="false">IF(COUNTIFS(Auditoria_ECG0!$B$2:$B$177,"RGPD",Auditoria_ECG0!$R$2:$R$177,"E")&gt;0,"E",IF(COUNTIFS(Auditoria_ECG0!$B$2:$B$177,"RGPD",Auditoria_ECG0!$R$2:$R$177,"C")&gt;0,"C",IF(COUNTIFS(Auditoria_ECG0!$B$2:$B$177,"RGPD",Auditoria_ECG0!$R$2:$R$177,"G")&gt;0,"G","0")))</f>
        <v>0</v>
      </c>
      <c r="G7" s="17" t="str">
        <f aca="false">IF(COUNTIFS(Auditoria_ECG0!$B$2:$B$177,"AI Act",Auditoria_ECG0!$R$2:$R$177,"E")&gt;0,"E",IF(COUNTIFS(Auditoria_ECG0!$B$2:$B$177,"AI Act",Auditoria_ECG0!$R$2:$R$177,"C")&gt;0,"C",IF(COUNTIFS(Auditoria_ECG0!$B$2:$B$177,"AI Act",Auditoria_ECG0!$R$2:$R$177,"G")&gt;0,"G","0")))</f>
        <v>0</v>
      </c>
      <c r="H7" s="17" t="str">
        <f aca="false">IF(COUNTIFS(Auditoria_ECG0!$B$2:$B$177,"DORA",Auditoria_ECG0!$R$2:$R$177,"E")&gt;0,"E",IF(COUNTIFS(Auditoria_ECG0!$B$2:$B$177,"DORA",Auditoria_ECG0!$R$2:$R$177,"C")&gt;0,"C",IF(COUNTIFS(Auditoria_ECG0!$B$2:$B$177,"DORA",Auditoria_ECG0!$R$2:$R$177,"G")&gt;0,"G","0")))</f>
        <v>C</v>
      </c>
      <c r="I7" s="17" t="str">
        <f aca="false">IF(COUNTIFS(Auditoria_ECG0!$B$2:$B$177,"eIDAS 2",Auditoria_ECG0!$R$2:$R$177,"E")&gt;0,"E",IF(COUNTIFS(Auditoria_ECG0!$B$2:$B$177,"eIDAS 2",Auditoria_ECG0!$R$2:$R$177,"C")&gt;0,"C",IF(COUNTIFS(Auditoria_ECG0!$B$2:$B$177,"eIDAS 2",Auditoria_ECG0!$R$2:$R$177,"G")&gt;0,"G","0")))</f>
        <v>0</v>
      </c>
      <c r="J7" s="17" t="str">
        <f aca="false">IF(COUNTIFS(Auditoria_ECG0!$B$2:$B$177,"Accesibilidad",Auditoria_ECG0!$R$2:$R$177,"E")&gt;0,"E",IF(COUNTIFS(Auditoria_ECG0!$B$2:$B$177,"Accesibilidad",Auditoria_ECG0!$R$2:$R$177,"C")&gt;0,"C",IF(COUNTIFS(Auditoria_ECG0!$B$2:$B$177,"Accesibilidad",Auditoria_ECG0!$R$2:$R$177,"G")&gt;0,"G","0")))</f>
        <v>0</v>
      </c>
      <c r="K7" s="17" t="str">
        <f aca="false">IF(COUNTIFS(Auditoria_ECG0!$B$2:$B$177,"Atención al cliente ES",Auditoria_ECG0!$R$2:$R$177,"E")&gt;0,"E",IF(COUNTIFS(Auditoria_ECG0!$B$2:$B$177,"Atención al cliente ES",Auditoria_ECG0!$R$2:$R$177,"C")&gt;0,"C",IF(COUNTIFS(Auditoria_ECG0!$B$2:$B$177,"Atención al cliente ES",Auditoria_ECG0!$R$2:$R$177,"G")&gt;0,"G","0")))</f>
        <v>0</v>
      </c>
    </row>
    <row r="8" customFormat="false" ht="15" hidden="false" customHeight="true" outlineLevel="0" collapsed="false">
      <c r="A8" s="8" t="s">
        <v>146</v>
      </c>
      <c r="B8" s="10" t="s">
        <v>147</v>
      </c>
      <c r="C8" s="17" t="str">
        <f aca="false">IF(COUNTIFS(Auditoria_ECG0!$B$2:$B$177,"Cuenta básica",Auditoria_ECG0!$S$2:$S$177,"E")&gt;0,"E",IF(COUNTIFS(Auditoria_ECG0!$B$2:$B$177,"Cuenta básica",Auditoria_ECG0!$S$2:$S$177,"C")&gt;0,"C",IF(COUNTIFS(Auditoria_ECG0!$B$2:$B$177,"Cuenta básica",Auditoria_ECG0!$S$2:$S$177,"G")&gt;0,"G","0")))</f>
        <v>0</v>
      </c>
      <c r="D8" s="17" t="str">
        <f aca="false">IF(COUNTIFS(Auditoria_ECG0!$B$2:$B$177,"AML",Auditoria_ECG0!$S$2:$S$177,"E")&gt;0,"E",IF(COUNTIFS(Auditoria_ECG0!$B$2:$B$177,"AML",Auditoria_ECG0!$S$2:$S$177,"C")&gt;0,"C",IF(COUNTIFS(Auditoria_ECG0!$B$2:$B$177,"AML",Auditoria_ECG0!$S$2:$S$177,"G")&gt;0,"G","0")))</f>
        <v>E</v>
      </c>
      <c r="E8" s="17" t="str">
        <f aca="false">IF(COUNTIFS(Auditoria_ECG0!$B$2:$B$177,"Directrices EBA",Auditoria_ECG0!$S$2:$S$177,"E")&gt;0,"E",IF(COUNTIFS(Auditoria_ECG0!$B$2:$B$177,"Directrices EBA",Auditoria_ECG0!$S$2:$S$177,"C")&gt;0,"C",IF(COUNTIFS(Auditoria_ECG0!$B$2:$B$177,"Directrices EBA",Auditoria_ECG0!$S$2:$S$177,"G")&gt;0,"G","0")))</f>
        <v>E</v>
      </c>
      <c r="F8" s="17" t="str">
        <f aca="false">IF(COUNTIFS(Auditoria_ECG0!$B$2:$B$177,"RGPD",Auditoria_ECG0!$S$2:$S$177,"E")&gt;0,"E",IF(COUNTIFS(Auditoria_ECG0!$B$2:$B$177,"RGPD",Auditoria_ECG0!$S$2:$S$177,"C")&gt;0,"C",IF(COUNTIFS(Auditoria_ECG0!$B$2:$B$177,"RGPD",Auditoria_ECG0!$S$2:$S$177,"G")&gt;0,"G","0")))</f>
        <v>0</v>
      </c>
      <c r="G8" s="17" t="str">
        <f aca="false">IF(COUNTIFS(Auditoria_ECG0!$B$2:$B$177,"AI Act",Auditoria_ECG0!$S$2:$S$177,"E")&gt;0,"E",IF(COUNTIFS(Auditoria_ECG0!$B$2:$B$177,"AI Act",Auditoria_ECG0!$S$2:$S$177,"C")&gt;0,"C",IF(COUNTIFS(Auditoria_ECG0!$B$2:$B$177,"AI Act",Auditoria_ECG0!$S$2:$S$177,"G")&gt;0,"G","0")))</f>
        <v>0</v>
      </c>
      <c r="H8" s="17" t="str">
        <f aca="false">IF(COUNTIFS(Auditoria_ECG0!$B$2:$B$177,"DORA",Auditoria_ECG0!$S$2:$S$177,"E")&gt;0,"E",IF(COUNTIFS(Auditoria_ECG0!$B$2:$B$177,"DORA",Auditoria_ECG0!$S$2:$S$177,"C")&gt;0,"C",IF(COUNTIFS(Auditoria_ECG0!$B$2:$B$177,"DORA",Auditoria_ECG0!$S$2:$S$177,"G")&gt;0,"G","0")))</f>
        <v>0</v>
      </c>
      <c r="I8" s="17" t="str">
        <f aca="false">IF(COUNTIFS(Auditoria_ECG0!$B$2:$B$177,"eIDAS 2",Auditoria_ECG0!$S$2:$S$177,"E")&gt;0,"E",IF(COUNTIFS(Auditoria_ECG0!$B$2:$B$177,"eIDAS 2",Auditoria_ECG0!$S$2:$S$177,"C")&gt;0,"C",IF(COUNTIFS(Auditoria_ECG0!$B$2:$B$177,"eIDAS 2",Auditoria_ECG0!$S$2:$S$177,"G")&gt;0,"G","0")))</f>
        <v>0</v>
      </c>
      <c r="J8" s="17" t="str">
        <f aca="false">IF(COUNTIFS(Auditoria_ECG0!$B$2:$B$177,"Accesibilidad",Auditoria_ECG0!$S$2:$S$177,"E")&gt;0,"E",IF(COUNTIFS(Auditoria_ECG0!$B$2:$B$177,"Accesibilidad",Auditoria_ECG0!$S$2:$S$177,"C")&gt;0,"C",IF(COUNTIFS(Auditoria_ECG0!$B$2:$B$177,"Accesibilidad",Auditoria_ECG0!$S$2:$S$177,"G")&gt;0,"G","0")))</f>
        <v>0</v>
      </c>
      <c r="K8" s="17" t="str">
        <f aca="false">IF(COUNTIFS(Auditoria_ECG0!$B$2:$B$177,"Atención al cliente ES",Auditoria_ECG0!$S$2:$S$177,"E")&gt;0,"E",IF(COUNTIFS(Auditoria_ECG0!$B$2:$B$177,"Atención al cliente ES",Auditoria_ECG0!$S$2:$S$177,"C")&gt;0,"C",IF(COUNTIFS(Auditoria_ECG0!$B$2:$B$177,"Atención al cliente ES",Auditoria_ECG0!$S$2:$S$177,"G")&gt;0,"G","0")))</f>
        <v>0</v>
      </c>
    </row>
    <row r="9" customFormat="false" ht="15" hidden="false" customHeight="true" outlineLevel="0" collapsed="false">
      <c r="A9" s="8" t="s">
        <v>148</v>
      </c>
      <c r="B9" s="10" t="s">
        <v>149</v>
      </c>
      <c r="C9" s="17" t="str">
        <f aca="false">IF(COUNTIFS(Auditoria_ECG0!$B$2:$B$177,"Cuenta básica",Auditoria_ECG0!$T$2:$T$177,"E")&gt;0,"E",IF(COUNTIFS(Auditoria_ECG0!$B$2:$B$177,"Cuenta básica",Auditoria_ECG0!$T$2:$T$177,"C")&gt;0,"C",IF(COUNTIFS(Auditoria_ECG0!$B$2:$B$177,"Cuenta básica",Auditoria_ECG0!$T$2:$T$177,"G")&gt;0,"G","0")))</f>
        <v>C</v>
      </c>
      <c r="D9" s="17" t="str">
        <f aca="false">IF(COUNTIFS(Auditoria_ECG0!$B$2:$B$177,"AML",Auditoria_ECG0!$T$2:$T$177,"E")&gt;0,"E",IF(COUNTIFS(Auditoria_ECG0!$B$2:$B$177,"AML",Auditoria_ECG0!$T$2:$T$177,"C")&gt;0,"C",IF(COUNTIFS(Auditoria_ECG0!$B$2:$B$177,"AML",Auditoria_ECG0!$T$2:$T$177,"G")&gt;0,"G","0")))</f>
        <v>E</v>
      </c>
      <c r="E9" s="17" t="str">
        <f aca="false">IF(COUNTIFS(Auditoria_ECG0!$B$2:$B$177,"Directrices EBA",Auditoria_ECG0!$T$2:$T$177,"E")&gt;0,"E",IF(COUNTIFS(Auditoria_ECG0!$B$2:$B$177,"Directrices EBA",Auditoria_ECG0!$T$2:$T$177,"C")&gt;0,"C",IF(COUNTIFS(Auditoria_ECG0!$B$2:$B$177,"Directrices EBA",Auditoria_ECG0!$T$2:$T$177,"G")&gt;0,"G","0")))</f>
        <v>E</v>
      </c>
      <c r="F9" s="17" t="str">
        <f aca="false">IF(COUNTIFS(Auditoria_ECG0!$B$2:$B$177,"RGPD",Auditoria_ECG0!$T$2:$T$177,"E")&gt;0,"E",IF(COUNTIFS(Auditoria_ECG0!$B$2:$B$177,"RGPD",Auditoria_ECG0!$T$2:$T$177,"C")&gt;0,"C",IF(COUNTIFS(Auditoria_ECG0!$B$2:$B$177,"RGPD",Auditoria_ECG0!$T$2:$T$177,"G")&gt;0,"G","0")))</f>
        <v>0</v>
      </c>
      <c r="G9" s="17" t="str">
        <f aca="false">IF(COUNTIFS(Auditoria_ECG0!$B$2:$B$177,"AI Act",Auditoria_ECG0!$T$2:$T$177,"E")&gt;0,"E",IF(COUNTIFS(Auditoria_ECG0!$B$2:$B$177,"AI Act",Auditoria_ECG0!$T$2:$T$177,"C")&gt;0,"C",IF(COUNTIFS(Auditoria_ECG0!$B$2:$B$177,"AI Act",Auditoria_ECG0!$T$2:$T$177,"G")&gt;0,"G","0")))</f>
        <v>0</v>
      </c>
      <c r="H9" s="17" t="str">
        <f aca="false">IF(COUNTIFS(Auditoria_ECG0!$B$2:$B$177,"DORA",Auditoria_ECG0!$T$2:$T$177,"E")&gt;0,"E",IF(COUNTIFS(Auditoria_ECG0!$B$2:$B$177,"DORA",Auditoria_ECG0!$T$2:$T$177,"C")&gt;0,"C",IF(COUNTIFS(Auditoria_ECG0!$B$2:$B$177,"DORA",Auditoria_ECG0!$T$2:$T$177,"G")&gt;0,"G","0")))</f>
        <v>0</v>
      </c>
      <c r="I9" s="17" t="str">
        <f aca="false">IF(COUNTIFS(Auditoria_ECG0!$B$2:$B$177,"eIDAS 2",Auditoria_ECG0!$T$2:$T$177,"E")&gt;0,"E",IF(COUNTIFS(Auditoria_ECG0!$B$2:$B$177,"eIDAS 2",Auditoria_ECG0!$T$2:$T$177,"C")&gt;0,"C",IF(COUNTIFS(Auditoria_ECG0!$B$2:$B$177,"eIDAS 2",Auditoria_ECG0!$T$2:$T$177,"G")&gt;0,"G","0")))</f>
        <v>0</v>
      </c>
      <c r="J9" s="17" t="str">
        <f aca="false">IF(COUNTIFS(Auditoria_ECG0!$B$2:$B$177,"Accesibilidad",Auditoria_ECG0!$T$2:$T$177,"E")&gt;0,"E",IF(COUNTIFS(Auditoria_ECG0!$B$2:$B$177,"Accesibilidad",Auditoria_ECG0!$T$2:$T$177,"C")&gt;0,"C",IF(COUNTIFS(Auditoria_ECG0!$B$2:$B$177,"Accesibilidad",Auditoria_ECG0!$T$2:$T$177,"G")&gt;0,"G","0")))</f>
        <v>0</v>
      </c>
      <c r="K9" s="17" t="str">
        <f aca="false">IF(COUNTIFS(Auditoria_ECG0!$B$2:$B$177,"Atención al cliente ES",Auditoria_ECG0!$T$2:$T$177,"E")&gt;0,"E",IF(COUNTIFS(Auditoria_ECG0!$B$2:$B$177,"Atención al cliente ES",Auditoria_ECG0!$T$2:$T$177,"C")&gt;0,"C",IF(COUNTIFS(Auditoria_ECG0!$B$2:$B$177,"Atención al cliente ES",Auditoria_ECG0!$T$2:$T$177,"G")&gt;0,"G","0")))</f>
        <v>0</v>
      </c>
    </row>
    <row r="10" customFormat="false" ht="15" hidden="false" customHeight="true" outlineLevel="0" collapsed="false">
      <c r="A10" s="8" t="s">
        <v>150</v>
      </c>
      <c r="B10" s="10" t="s">
        <v>151</v>
      </c>
      <c r="C10" s="17" t="str">
        <f aca="false">IF(COUNTIFS(Auditoria_ECG0!$B$2:$B$177,"Cuenta básica",Auditoria_ECG0!$U$2:$U$177,"E")&gt;0,"E",IF(COUNTIFS(Auditoria_ECG0!$B$2:$B$177,"Cuenta básica",Auditoria_ECG0!$U$2:$U$177,"C")&gt;0,"C",IF(COUNTIFS(Auditoria_ECG0!$B$2:$B$177,"Cuenta básica",Auditoria_ECG0!$U$2:$U$177,"G")&gt;0,"G","0")))</f>
        <v>0</v>
      </c>
      <c r="D10" s="17" t="str">
        <f aca="false">IF(COUNTIFS(Auditoria_ECG0!$B$2:$B$177,"AML",Auditoria_ECG0!$U$2:$U$177,"E")&gt;0,"E",IF(COUNTIFS(Auditoria_ECG0!$B$2:$B$177,"AML",Auditoria_ECG0!$U$2:$U$177,"C")&gt;0,"C",IF(COUNTIFS(Auditoria_ECG0!$B$2:$B$177,"AML",Auditoria_ECG0!$U$2:$U$177,"G")&gt;0,"G","0")))</f>
        <v>E</v>
      </c>
      <c r="E10" s="17" t="str">
        <f aca="false">IF(COUNTIFS(Auditoria_ECG0!$B$2:$B$177,"Directrices EBA",Auditoria_ECG0!$U$2:$U$177,"E")&gt;0,"E",IF(COUNTIFS(Auditoria_ECG0!$B$2:$B$177,"Directrices EBA",Auditoria_ECG0!$U$2:$U$177,"C")&gt;0,"C",IF(COUNTIFS(Auditoria_ECG0!$B$2:$B$177,"Directrices EBA",Auditoria_ECG0!$U$2:$U$177,"G")&gt;0,"G","0")))</f>
        <v>C</v>
      </c>
      <c r="F10" s="17" t="str">
        <f aca="false">IF(COUNTIFS(Auditoria_ECG0!$B$2:$B$177,"RGPD",Auditoria_ECG0!$U$2:$U$177,"E")&gt;0,"E",IF(COUNTIFS(Auditoria_ECG0!$B$2:$B$177,"RGPD",Auditoria_ECG0!$U$2:$U$177,"C")&gt;0,"C",IF(COUNTIFS(Auditoria_ECG0!$B$2:$B$177,"RGPD",Auditoria_ECG0!$U$2:$U$177,"G")&gt;0,"G","0")))</f>
        <v>G</v>
      </c>
      <c r="G10" s="17" t="str">
        <f aca="false">IF(COUNTIFS(Auditoria_ECG0!$B$2:$B$177,"AI Act",Auditoria_ECG0!$U$2:$U$177,"E")&gt;0,"E",IF(COUNTIFS(Auditoria_ECG0!$B$2:$B$177,"AI Act",Auditoria_ECG0!$U$2:$U$177,"C")&gt;0,"C",IF(COUNTIFS(Auditoria_ECG0!$B$2:$B$177,"AI Act",Auditoria_ECG0!$U$2:$U$177,"G")&gt;0,"G","0")))</f>
        <v>C</v>
      </c>
      <c r="H10" s="17" t="str">
        <f aca="false">IF(COUNTIFS(Auditoria_ECG0!$B$2:$B$177,"DORA",Auditoria_ECG0!$U$2:$U$177,"E")&gt;0,"E",IF(COUNTIFS(Auditoria_ECG0!$B$2:$B$177,"DORA",Auditoria_ECG0!$U$2:$U$177,"C")&gt;0,"C",IF(COUNTIFS(Auditoria_ECG0!$B$2:$B$177,"DORA",Auditoria_ECG0!$U$2:$U$177,"G")&gt;0,"G","0")))</f>
        <v>0</v>
      </c>
      <c r="I10" s="17" t="str">
        <f aca="false">IF(COUNTIFS(Auditoria_ECG0!$B$2:$B$177,"eIDAS 2",Auditoria_ECG0!$U$2:$U$177,"E")&gt;0,"E",IF(COUNTIFS(Auditoria_ECG0!$B$2:$B$177,"eIDAS 2",Auditoria_ECG0!$U$2:$U$177,"C")&gt;0,"C",IF(COUNTIFS(Auditoria_ECG0!$B$2:$B$177,"eIDAS 2",Auditoria_ECG0!$U$2:$U$177,"G")&gt;0,"G","0")))</f>
        <v>0</v>
      </c>
      <c r="J10" s="17" t="str">
        <f aca="false">IF(COUNTIFS(Auditoria_ECG0!$B$2:$B$177,"Accesibilidad",Auditoria_ECG0!$U$2:$U$177,"E")&gt;0,"E",IF(COUNTIFS(Auditoria_ECG0!$B$2:$B$177,"Accesibilidad",Auditoria_ECG0!$U$2:$U$177,"C")&gt;0,"C",IF(COUNTIFS(Auditoria_ECG0!$B$2:$B$177,"Accesibilidad",Auditoria_ECG0!$U$2:$U$177,"G")&gt;0,"G","0")))</f>
        <v>0</v>
      </c>
      <c r="K10" s="17" t="str">
        <f aca="false">IF(COUNTIFS(Auditoria_ECG0!$B$2:$B$177,"Atención al cliente ES",Auditoria_ECG0!$U$2:$U$177,"E")&gt;0,"E",IF(COUNTIFS(Auditoria_ECG0!$B$2:$B$177,"Atención al cliente ES",Auditoria_ECG0!$U$2:$U$177,"C")&gt;0,"C",IF(COUNTIFS(Auditoria_ECG0!$B$2:$B$177,"Atención al cliente ES",Auditoria_ECG0!$U$2:$U$177,"G")&gt;0,"G","0")))</f>
        <v>0</v>
      </c>
    </row>
    <row r="11" customFormat="false" ht="15" hidden="false" customHeight="true" outlineLevel="0" collapsed="false">
      <c r="A11" s="8" t="s">
        <v>152</v>
      </c>
      <c r="B11" s="10" t="s">
        <v>153</v>
      </c>
      <c r="C11" s="17" t="str">
        <f aca="false">IF(COUNTIFS(Auditoria_ECG0!$B$2:$B$177,"Cuenta básica",Auditoria_ECG0!$V$2:$V$177,"E")&gt;0,"E",IF(COUNTIFS(Auditoria_ECG0!$B$2:$B$177,"Cuenta básica",Auditoria_ECG0!$V$2:$V$177,"C")&gt;0,"C",IF(COUNTIFS(Auditoria_ECG0!$B$2:$B$177,"Cuenta básica",Auditoria_ECG0!$V$2:$V$177,"G")&gt;0,"G","0")))</f>
        <v>0</v>
      </c>
      <c r="D11" s="17" t="str">
        <f aca="false">IF(COUNTIFS(Auditoria_ECG0!$B$2:$B$177,"AML",Auditoria_ECG0!$V$2:$V$177,"E")&gt;0,"E",IF(COUNTIFS(Auditoria_ECG0!$B$2:$B$177,"AML",Auditoria_ECG0!$V$2:$V$177,"C")&gt;0,"C",IF(COUNTIFS(Auditoria_ECG0!$B$2:$B$177,"AML",Auditoria_ECG0!$V$2:$V$177,"G")&gt;0,"G","0")))</f>
        <v>0</v>
      </c>
      <c r="E11" s="17" t="str">
        <f aca="false">IF(COUNTIFS(Auditoria_ECG0!$B$2:$B$177,"Directrices EBA",Auditoria_ECG0!$V$2:$V$177,"E")&gt;0,"E",IF(COUNTIFS(Auditoria_ECG0!$B$2:$B$177,"Directrices EBA",Auditoria_ECG0!$V$2:$V$177,"C")&gt;0,"C",IF(COUNTIFS(Auditoria_ECG0!$B$2:$B$177,"Directrices EBA",Auditoria_ECG0!$V$2:$V$177,"G")&gt;0,"G","0")))</f>
        <v>0</v>
      </c>
      <c r="F11" s="17" t="str">
        <f aca="false">IF(COUNTIFS(Auditoria_ECG0!$B$2:$B$177,"RGPD",Auditoria_ECG0!$V$2:$V$177,"E")&gt;0,"E",IF(COUNTIFS(Auditoria_ECG0!$B$2:$B$177,"RGPD",Auditoria_ECG0!$V$2:$V$177,"C")&gt;0,"C",IF(COUNTIFS(Auditoria_ECG0!$B$2:$B$177,"RGPD",Auditoria_ECG0!$V$2:$V$177,"G")&gt;0,"G","0")))</f>
        <v>0</v>
      </c>
      <c r="G11" s="17" t="str">
        <f aca="false">IF(COUNTIFS(Auditoria_ECG0!$B$2:$B$177,"AI Act",Auditoria_ECG0!$V$2:$V$177,"E")&gt;0,"E",IF(COUNTIFS(Auditoria_ECG0!$B$2:$B$177,"AI Act",Auditoria_ECG0!$V$2:$V$177,"C")&gt;0,"C",IF(COUNTIFS(Auditoria_ECG0!$B$2:$B$177,"AI Act",Auditoria_ECG0!$V$2:$V$177,"G")&gt;0,"G","0")))</f>
        <v>0</v>
      </c>
      <c r="H11" s="17" t="str">
        <f aca="false">IF(COUNTIFS(Auditoria_ECG0!$B$2:$B$177,"DORA",Auditoria_ECG0!$V$2:$V$177,"E")&gt;0,"E",IF(COUNTIFS(Auditoria_ECG0!$B$2:$B$177,"DORA",Auditoria_ECG0!$V$2:$V$177,"C")&gt;0,"C",IF(COUNTIFS(Auditoria_ECG0!$B$2:$B$177,"DORA",Auditoria_ECG0!$V$2:$V$177,"G")&gt;0,"G","0")))</f>
        <v>0</v>
      </c>
      <c r="I11" s="17" t="str">
        <f aca="false">IF(COUNTIFS(Auditoria_ECG0!$B$2:$B$177,"eIDAS 2",Auditoria_ECG0!$V$2:$V$177,"E")&gt;0,"E",IF(COUNTIFS(Auditoria_ECG0!$B$2:$B$177,"eIDAS 2",Auditoria_ECG0!$V$2:$V$177,"C")&gt;0,"C",IF(COUNTIFS(Auditoria_ECG0!$B$2:$B$177,"eIDAS 2",Auditoria_ECG0!$V$2:$V$177,"G")&gt;0,"G","0")))</f>
        <v>0</v>
      </c>
      <c r="J11" s="17" t="str">
        <f aca="false">IF(COUNTIFS(Auditoria_ECG0!$B$2:$B$177,"Accesibilidad",Auditoria_ECG0!$V$2:$V$177,"E")&gt;0,"E",IF(COUNTIFS(Auditoria_ECG0!$B$2:$B$177,"Accesibilidad",Auditoria_ECG0!$V$2:$V$177,"C")&gt;0,"C",IF(COUNTIFS(Auditoria_ECG0!$B$2:$B$177,"Accesibilidad",Auditoria_ECG0!$V$2:$V$177,"G")&gt;0,"G","0")))</f>
        <v>0</v>
      </c>
      <c r="K11" s="17" t="str">
        <f aca="false">IF(COUNTIFS(Auditoria_ECG0!$B$2:$B$177,"Atención al cliente ES",Auditoria_ECG0!$V$2:$V$177,"E")&gt;0,"E",IF(COUNTIFS(Auditoria_ECG0!$B$2:$B$177,"Atención al cliente ES",Auditoria_ECG0!$V$2:$V$177,"C")&gt;0,"C",IF(COUNTIFS(Auditoria_ECG0!$B$2:$B$177,"Atención al cliente ES",Auditoria_ECG0!$V$2:$V$177,"G")&gt;0,"G","0")))</f>
        <v>0</v>
      </c>
    </row>
    <row r="12" customFormat="false" ht="15" hidden="false" customHeight="true" outlineLevel="0" collapsed="false">
      <c r="A12" s="8" t="s">
        <v>154</v>
      </c>
      <c r="B12" s="10" t="s">
        <v>155</v>
      </c>
      <c r="C12" s="17" t="str">
        <f aca="false">IF(COUNTIFS(Auditoria_ECG0!$B$2:$B$177,"Cuenta básica",Auditoria_ECG0!$W$2:$W$177,"E")&gt;0,"E",IF(COUNTIFS(Auditoria_ECG0!$B$2:$B$177,"Cuenta básica",Auditoria_ECG0!$W$2:$W$177,"C")&gt;0,"C",IF(COUNTIFS(Auditoria_ECG0!$B$2:$B$177,"Cuenta básica",Auditoria_ECG0!$W$2:$W$177,"G")&gt;0,"G","0")))</f>
        <v>C</v>
      </c>
      <c r="D12" s="17" t="str">
        <f aca="false">IF(COUNTIFS(Auditoria_ECG0!$B$2:$B$177,"AML",Auditoria_ECG0!$W$2:$W$177,"E")&gt;0,"E",IF(COUNTIFS(Auditoria_ECG0!$B$2:$B$177,"AML",Auditoria_ECG0!$W$2:$W$177,"C")&gt;0,"C",IF(COUNTIFS(Auditoria_ECG0!$B$2:$B$177,"AML",Auditoria_ECG0!$W$2:$W$177,"G")&gt;0,"G","0")))</f>
        <v>E</v>
      </c>
      <c r="E12" s="17" t="str">
        <f aca="false">IF(COUNTIFS(Auditoria_ECG0!$B$2:$B$177,"Directrices EBA",Auditoria_ECG0!$W$2:$W$177,"E")&gt;0,"E",IF(COUNTIFS(Auditoria_ECG0!$B$2:$B$177,"Directrices EBA",Auditoria_ECG0!$W$2:$W$177,"C")&gt;0,"C",IF(COUNTIFS(Auditoria_ECG0!$B$2:$B$177,"Directrices EBA",Auditoria_ECG0!$W$2:$W$177,"G")&gt;0,"G","0")))</f>
        <v>0</v>
      </c>
      <c r="F12" s="17" t="str">
        <f aca="false">IF(COUNTIFS(Auditoria_ECG0!$B$2:$B$177,"RGPD",Auditoria_ECG0!$W$2:$W$177,"E")&gt;0,"E",IF(COUNTIFS(Auditoria_ECG0!$B$2:$B$177,"RGPD",Auditoria_ECG0!$W$2:$W$177,"C")&gt;0,"C",IF(COUNTIFS(Auditoria_ECG0!$B$2:$B$177,"RGPD",Auditoria_ECG0!$W$2:$W$177,"G")&gt;0,"G","0")))</f>
        <v>0</v>
      </c>
      <c r="G12" s="17" t="str">
        <f aca="false">IF(COUNTIFS(Auditoria_ECG0!$B$2:$B$177,"AI Act",Auditoria_ECG0!$W$2:$W$177,"E")&gt;0,"E",IF(COUNTIFS(Auditoria_ECG0!$B$2:$B$177,"AI Act",Auditoria_ECG0!$W$2:$W$177,"C")&gt;0,"C",IF(COUNTIFS(Auditoria_ECG0!$B$2:$B$177,"AI Act",Auditoria_ECG0!$W$2:$W$177,"G")&gt;0,"G","0")))</f>
        <v>0</v>
      </c>
      <c r="H12" s="17" t="str">
        <f aca="false">IF(COUNTIFS(Auditoria_ECG0!$B$2:$B$177,"DORA",Auditoria_ECG0!$W$2:$W$177,"E")&gt;0,"E",IF(COUNTIFS(Auditoria_ECG0!$B$2:$B$177,"DORA",Auditoria_ECG0!$W$2:$W$177,"C")&gt;0,"C",IF(COUNTIFS(Auditoria_ECG0!$B$2:$B$177,"DORA",Auditoria_ECG0!$W$2:$W$177,"G")&gt;0,"G","0")))</f>
        <v>0</v>
      </c>
      <c r="I12" s="17" t="str">
        <f aca="false">IF(COUNTIFS(Auditoria_ECG0!$B$2:$B$177,"eIDAS 2",Auditoria_ECG0!$W$2:$W$177,"E")&gt;0,"E",IF(COUNTIFS(Auditoria_ECG0!$B$2:$B$177,"eIDAS 2",Auditoria_ECG0!$W$2:$W$177,"C")&gt;0,"C",IF(COUNTIFS(Auditoria_ECG0!$B$2:$B$177,"eIDAS 2",Auditoria_ECG0!$W$2:$W$177,"G")&gt;0,"G","0")))</f>
        <v>0</v>
      </c>
      <c r="J12" s="17" t="str">
        <f aca="false">IF(COUNTIFS(Auditoria_ECG0!$B$2:$B$177,"Accesibilidad",Auditoria_ECG0!$W$2:$W$177,"E")&gt;0,"E",IF(COUNTIFS(Auditoria_ECG0!$B$2:$B$177,"Accesibilidad",Auditoria_ECG0!$W$2:$W$177,"C")&gt;0,"C",IF(COUNTIFS(Auditoria_ECG0!$B$2:$B$177,"Accesibilidad",Auditoria_ECG0!$W$2:$W$177,"G")&gt;0,"G","0")))</f>
        <v>0</v>
      </c>
      <c r="K12" s="17" t="str">
        <f aca="false">IF(COUNTIFS(Auditoria_ECG0!$B$2:$B$177,"Atención al cliente ES",Auditoria_ECG0!$W$2:$W$177,"E")&gt;0,"E",IF(COUNTIFS(Auditoria_ECG0!$B$2:$B$177,"Atención al cliente ES",Auditoria_ECG0!$W$2:$W$177,"C")&gt;0,"C",IF(COUNTIFS(Auditoria_ECG0!$B$2:$B$177,"Atención al cliente ES",Auditoria_ECG0!$W$2:$W$177,"G")&gt;0,"G","0")))</f>
        <v>0</v>
      </c>
    </row>
    <row r="13" customFormat="false" ht="15" hidden="false" customHeight="true" outlineLevel="0" collapsed="false">
      <c r="A13" s="8" t="s">
        <v>156</v>
      </c>
      <c r="B13" s="10" t="s">
        <v>157</v>
      </c>
      <c r="C13" s="17" t="str">
        <f aca="false">IF(COUNTIFS(Auditoria_ECG0!$B$2:$B$177,"Cuenta básica",Auditoria_ECG0!$X$2:$X$177,"E")&gt;0,"E",IF(COUNTIFS(Auditoria_ECG0!$B$2:$B$177,"Cuenta básica",Auditoria_ECG0!$X$2:$X$177,"C")&gt;0,"C",IF(COUNTIFS(Auditoria_ECG0!$B$2:$B$177,"Cuenta básica",Auditoria_ECG0!$X$2:$X$177,"G")&gt;0,"G","0")))</f>
        <v>E</v>
      </c>
      <c r="D13" s="17" t="str">
        <f aca="false">IF(COUNTIFS(Auditoria_ECG0!$B$2:$B$177,"AML",Auditoria_ECG0!$X$2:$X$177,"E")&gt;0,"E",IF(COUNTIFS(Auditoria_ECG0!$B$2:$B$177,"AML",Auditoria_ECG0!$X$2:$X$177,"C")&gt;0,"C",IF(COUNTIFS(Auditoria_ECG0!$B$2:$B$177,"AML",Auditoria_ECG0!$X$2:$X$177,"G")&gt;0,"G","0")))</f>
        <v>E</v>
      </c>
      <c r="E13" s="17" t="str">
        <f aca="false">IF(COUNTIFS(Auditoria_ECG0!$B$2:$B$177,"Directrices EBA",Auditoria_ECG0!$X$2:$X$177,"E")&gt;0,"E",IF(COUNTIFS(Auditoria_ECG0!$B$2:$B$177,"Directrices EBA",Auditoria_ECG0!$X$2:$X$177,"C")&gt;0,"C",IF(COUNTIFS(Auditoria_ECG0!$B$2:$B$177,"Directrices EBA",Auditoria_ECG0!$X$2:$X$177,"G")&gt;0,"G","0")))</f>
        <v>E</v>
      </c>
      <c r="F13" s="17" t="str">
        <f aca="false">IF(COUNTIFS(Auditoria_ECG0!$B$2:$B$177,"RGPD",Auditoria_ECG0!$X$2:$X$177,"E")&gt;0,"E",IF(COUNTIFS(Auditoria_ECG0!$B$2:$B$177,"RGPD",Auditoria_ECG0!$X$2:$X$177,"C")&gt;0,"C",IF(COUNTIFS(Auditoria_ECG0!$B$2:$B$177,"RGPD",Auditoria_ECG0!$X$2:$X$177,"G")&gt;0,"G","0")))</f>
        <v>G</v>
      </c>
      <c r="G13" s="17" t="str">
        <f aca="false">IF(COUNTIFS(Auditoria_ECG0!$B$2:$B$177,"AI Act",Auditoria_ECG0!$X$2:$X$177,"E")&gt;0,"E",IF(COUNTIFS(Auditoria_ECG0!$B$2:$B$177,"AI Act",Auditoria_ECG0!$X$2:$X$177,"C")&gt;0,"C",IF(COUNTIFS(Auditoria_ECG0!$B$2:$B$177,"AI Act",Auditoria_ECG0!$X$2:$X$177,"G")&gt;0,"G","0")))</f>
        <v>C</v>
      </c>
      <c r="H13" s="17" t="str">
        <f aca="false">IF(COUNTIFS(Auditoria_ECG0!$B$2:$B$177,"DORA",Auditoria_ECG0!$X$2:$X$177,"E")&gt;0,"E",IF(COUNTIFS(Auditoria_ECG0!$B$2:$B$177,"DORA",Auditoria_ECG0!$X$2:$X$177,"C")&gt;0,"C",IF(COUNTIFS(Auditoria_ECG0!$B$2:$B$177,"DORA",Auditoria_ECG0!$X$2:$X$177,"G")&gt;0,"G","0")))</f>
        <v>0</v>
      </c>
      <c r="I13" s="17" t="str">
        <f aca="false">IF(COUNTIFS(Auditoria_ECG0!$B$2:$B$177,"eIDAS 2",Auditoria_ECG0!$X$2:$X$177,"E")&gt;0,"E",IF(COUNTIFS(Auditoria_ECG0!$B$2:$B$177,"eIDAS 2",Auditoria_ECG0!$X$2:$X$177,"C")&gt;0,"C",IF(COUNTIFS(Auditoria_ECG0!$B$2:$B$177,"eIDAS 2",Auditoria_ECG0!$X$2:$X$177,"G")&gt;0,"G","0")))</f>
        <v>0</v>
      </c>
      <c r="J13" s="17" t="str">
        <f aca="false">IF(COUNTIFS(Auditoria_ECG0!$B$2:$B$177,"Accesibilidad",Auditoria_ECG0!$X$2:$X$177,"E")&gt;0,"E",IF(COUNTIFS(Auditoria_ECG0!$B$2:$B$177,"Accesibilidad",Auditoria_ECG0!$X$2:$X$177,"C")&gt;0,"C",IF(COUNTIFS(Auditoria_ECG0!$B$2:$B$177,"Accesibilidad",Auditoria_ECG0!$X$2:$X$177,"G")&gt;0,"G","0")))</f>
        <v>0</v>
      </c>
      <c r="K13" s="17" t="str">
        <f aca="false">IF(COUNTIFS(Auditoria_ECG0!$B$2:$B$177,"Atención al cliente ES",Auditoria_ECG0!$X$2:$X$177,"E")&gt;0,"E",IF(COUNTIFS(Auditoria_ECG0!$B$2:$B$177,"Atención al cliente ES",Auditoria_ECG0!$X$2:$X$177,"C")&gt;0,"C",IF(COUNTIFS(Auditoria_ECG0!$B$2:$B$177,"Atención al cliente ES",Auditoria_ECG0!$X$2:$X$177,"G")&gt;0,"G","0")))</f>
        <v>C</v>
      </c>
    </row>
    <row r="14" customFormat="false" ht="15" hidden="false" customHeight="true" outlineLevel="0" collapsed="false">
      <c r="A14" s="8" t="s">
        <v>158</v>
      </c>
      <c r="B14" s="10" t="s">
        <v>159</v>
      </c>
      <c r="C14" s="17" t="str">
        <f aca="false">IF(COUNTIFS(Auditoria_ECG0!$B$2:$B$177,"Cuenta básica",Auditoria_ECG0!$Y$2:$Y$177,"E")&gt;0,"E",IF(COUNTIFS(Auditoria_ECG0!$B$2:$B$177,"Cuenta básica",Auditoria_ECG0!$Y$2:$Y$177,"C")&gt;0,"C",IF(COUNTIFS(Auditoria_ECG0!$B$2:$B$177,"Cuenta básica",Auditoria_ECG0!$Y$2:$Y$177,"G")&gt;0,"G","0")))</f>
        <v>E</v>
      </c>
      <c r="D14" s="17" t="str">
        <f aca="false">IF(COUNTIFS(Auditoria_ECG0!$B$2:$B$177,"AML",Auditoria_ECG0!$Y$2:$Y$177,"E")&gt;0,"E",IF(COUNTIFS(Auditoria_ECG0!$B$2:$B$177,"AML",Auditoria_ECG0!$Y$2:$Y$177,"C")&gt;0,"C",IF(COUNTIFS(Auditoria_ECG0!$B$2:$B$177,"AML",Auditoria_ECG0!$Y$2:$Y$177,"G")&gt;0,"G","0")))</f>
        <v>E</v>
      </c>
      <c r="E14" s="17" t="str">
        <f aca="false">IF(COUNTIFS(Auditoria_ECG0!$B$2:$B$177,"Directrices EBA",Auditoria_ECG0!$Y$2:$Y$177,"E")&gt;0,"E",IF(COUNTIFS(Auditoria_ECG0!$B$2:$B$177,"Directrices EBA",Auditoria_ECG0!$Y$2:$Y$177,"C")&gt;0,"C",IF(COUNTIFS(Auditoria_ECG0!$B$2:$B$177,"Directrices EBA",Auditoria_ECG0!$Y$2:$Y$177,"G")&gt;0,"G","0")))</f>
        <v>C</v>
      </c>
      <c r="F14" s="17" t="str">
        <f aca="false">IF(COUNTIFS(Auditoria_ECG0!$B$2:$B$177,"RGPD",Auditoria_ECG0!$Y$2:$Y$177,"E")&gt;0,"E",IF(COUNTIFS(Auditoria_ECG0!$B$2:$B$177,"RGPD",Auditoria_ECG0!$Y$2:$Y$177,"C")&gt;0,"C",IF(COUNTIFS(Auditoria_ECG0!$B$2:$B$177,"RGPD",Auditoria_ECG0!$Y$2:$Y$177,"G")&gt;0,"G","0")))</f>
        <v>0</v>
      </c>
      <c r="G14" s="17" t="str">
        <f aca="false">IF(COUNTIFS(Auditoria_ECG0!$B$2:$B$177,"AI Act",Auditoria_ECG0!$Y$2:$Y$177,"E")&gt;0,"E",IF(COUNTIFS(Auditoria_ECG0!$B$2:$B$177,"AI Act",Auditoria_ECG0!$Y$2:$Y$177,"C")&gt;0,"C",IF(COUNTIFS(Auditoria_ECG0!$B$2:$B$177,"AI Act",Auditoria_ECG0!$Y$2:$Y$177,"G")&gt;0,"G","0")))</f>
        <v>0</v>
      </c>
      <c r="H14" s="17" t="str">
        <f aca="false">IF(COUNTIFS(Auditoria_ECG0!$B$2:$B$177,"DORA",Auditoria_ECG0!$Y$2:$Y$177,"E")&gt;0,"E",IF(COUNTIFS(Auditoria_ECG0!$B$2:$B$177,"DORA",Auditoria_ECG0!$Y$2:$Y$177,"C")&gt;0,"C",IF(COUNTIFS(Auditoria_ECG0!$B$2:$B$177,"DORA",Auditoria_ECG0!$Y$2:$Y$177,"G")&gt;0,"G","0")))</f>
        <v>0</v>
      </c>
      <c r="I14" s="17" t="str">
        <f aca="false">IF(COUNTIFS(Auditoria_ECG0!$B$2:$B$177,"eIDAS 2",Auditoria_ECG0!$Y$2:$Y$177,"E")&gt;0,"E",IF(COUNTIFS(Auditoria_ECG0!$B$2:$B$177,"eIDAS 2",Auditoria_ECG0!$Y$2:$Y$177,"C")&gt;0,"C",IF(COUNTIFS(Auditoria_ECG0!$B$2:$B$177,"eIDAS 2",Auditoria_ECG0!$Y$2:$Y$177,"G")&gt;0,"G","0")))</f>
        <v>0</v>
      </c>
      <c r="J14" s="17" t="str">
        <f aca="false">IF(COUNTIFS(Auditoria_ECG0!$B$2:$B$177,"Accesibilidad",Auditoria_ECG0!$Y$2:$Y$177,"E")&gt;0,"E",IF(COUNTIFS(Auditoria_ECG0!$B$2:$B$177,"Accesibilidad",Auditoria_ECG0!$Y$2:$Y$177,"C")&gt;0,"C",IF(COUNTIFS(Auditoria_ECG0!$B$2:$B$177,"Accesibilidad",Auditoria_ECG0!$Y$2:$Y$177,"G")&gt;0,"G","0")))</f>
        <v>0</v>
      </c>
      <c r="K14" s="17" t="str">
        <f aca="false">IF(COUNTIFS(Auditoria_ECG0!$B$2:$B$177,"Atención al cliente ES",Auditoria_ECG0!$Y$2:$Y$177,"E")&gt;0,"E",IF(COUNTIFS(Auditoria_ECG0!$B$2:$B$177,"Atención al cliente ES",Auditoria_ECG0!$Y$2:$Y$177,"C")&gt;0,"C",IF(COUNTIFS(Auditoria_ECG0!$B$2:$B$177,"Atención al cliente ES",Auditoria_ECG0!$Y$2:$Y$177,"G")&gt;0,"G","0")))</f>
        <v>C</v>
      </c>
    </row>
    <row r="15" customFormat="false" ht="15" hidden="false" customHeight="true" outlineLevel="0" collapsed="false">
      <c r="A15" s="8" t="s">
        <v>161</v>
      </c>
      <c r="B15" s="10" t="s">
        <v>162</v>
      </c>
      <c r="C15" s="17" t="str">
        <f aca="false">IF(COUNTIFS(Auditoria_ECG0!$B$2:$B$177,"Cuenta básica",Auditoria_ECG0!$Z$2:$Z$177,"E")&gt;0,"E",IF(COUNTIFS(Auditoria_ECG0!$B$2:$B$177,"Cuenta básica",Auditoria_ECG0!$Z$2:$Z$177,"C")&gt;0,"C",IF(COUNTIFS(Auditoria_ECG0!$B$2:$B$177,"Cuenta básica",Auditoria_ECG0!$Z$2:$Z$177,"G")&gt;0,"G","0")))</f>
        <v>C</v>
      </c>
      <c r="D15" s="17" t="str">
        <f aca="false">IF(COUNTIFS(Auditoria_ECG0!$B$2:$B$177,"AML",Auditoria_ECG0!$Z$2:$Z$177,"E")&gt;0,"E",IF(COUNTIFS(Auditoria_ECG0!$B$2:$B$177,"AML",Auditoria_ECG0!$Z$2:$Z$177,"C")&gt;0,"C",IF(COUNTIFS(Auditoria_ECG0!$B$2:$B$177,"AML",Auditoria_ECG0!$Z$2:$Z$177,"G")&gt;0,"G","0")))</f>
        <v>G</v>
      </c>
      <c r="E15" s="17" t="str">
        <f aca="false">IF(COUNTIFS(Auditoria_ECG0!$B$2:$B$177,"Directrices EBA",Auditoria_ECG0!$Z$2:$Z$177,"E")&gt;0,"E",IF(COUNTIFS(Auditoria_ECG0!$B$2:$B$177,"Directrices EBA",Auditoria_ECG0!$Z$2:$Z$177,"C")&gt;0,"C",IF(COUNTIFS(Auditoria_ECG0!$B$2:$B$177,"Directrices EBA",Auditoria_ECG0!$Z$2:$Z$177,"G")&gt;0,"G","0")))</f>
        <v>G</v>
      </c>
      <c r="F15" s="17" t="str">
        <f aca="false">IF(COUNTIFS(Auditoria_ECG0!$B$2:$B$177,"RGPD",Auditoria_ECG0!$Z$2:$Z$177,"E")&gt;0,"E",IF(COUNTIFS(Auditoria_ECG0!$B$2:$B$177,"RGPD",Auditoria_ECG0!$Z$2:$Z$177,"C")&gt;0,"C",IF(COUNTIFS(Auditoria_ECG0!$B$2:$B$177,"RGPD",Auditoria_ECG0!$Z$2:$Z$177,"G")&gt;0,"G","0")))</f>
        <v>G</v>
      </c>
      <c r="G15" s="17" t="str">
        <f aca="false">IF(COUNTIFS(Auditoria_ECG0!$B$2:$B$177,"AI Act",Auditoria_ECG0!$Z$2:$Z$177,"E")&gt;0,"E",IF(COUNTIFS(Auditoria_ECG0!$B$2:$B$177,"AI Act",Auditoria_ECG0!$Z$2:$Z$177,"C")&gt;0,"C",IF(COUNTIFS(Auditoria_ECG0!$B$2:$B$177,"AI Act",Auditoria_ECG0!$Z$2:$Z$177,"G")&gt;0,"G","0")))</f>
        <v>C</v>
      </c>
      <c r="H15" s="17" t="str">
        <f aca="false">IF(COUNTIFS(Auditoria_ECG0!$B$2:$B$177,"DORA",Auditoria_ECG0!$Z$2:$Z$177,"E")&gt;0,"E",IF(COUNTIFS(Auditoria_ECG0!$B$2:$B$177,"DORA",Auditoria_ECG0!$Z$2:$Z$177,"C")&gt;0,"C",IF(COUNTIFS(Auditoria_ECG0!$B$2:$B$177,"DORA",Auditoria_ECG0!$Z$2:$Z$177,"G")&gt;0,"G","0")))</f>
        <v>G</v>
      </c>
      <c r="I15" s="17" t="str">
        <f aca="false">IF(COUNTIFS(Auditoria_ECG0!$B$2:$B$177,"eIDAS 2",Auditoria_ECG0!$Z$2:$Z$177,"E")&gt;0,"E",IF(COUNTIFS(Auditoria_ECG0!$B$2:$B$177,"eIDAS 2",Auditoria_ECG0!$Z$2:$Z$177,"C")&gt;0,"C",IF(COUNTIFS(Auditoria_ECG0!$B$2:$B$177,"eIDAS 2",Auditoria_ECG0!$Z$2:$Z$177,"G")&gt;0,"G","0")))</f>
        <v>G</v>
      </c>
      <c r="J15" s="17" t="str">
        <f aca="false">IF(COUNTIFS(Auditoria_ECG0!$B$2:$B$177,"Accesibilidad",Auditoria_ECG0!$Z$2:$Z$177,"E")&gt;0,"E",IF(COUNTIFS(Auditoria_ECG0!$B$2:$B$177,"Accesibilidad",Auditoria_ECG0!$Z$2:$Z$177,"C")&gt;0,"C",IF(COUNTIFS(Auditoria_ECG0!$B$2:$B$177,"Accesibilidad",Auditoria_ECG0!$Z$2:$Z$177,"G")&gt;0,"G","0")))</f>
        <v>C</v>
      </c>
      <c r="K15" s="17" t="str">
        <f aca="false">IF(COUNTIFS(Auditoria_ECG0!$B$2:$B$177,"Atención al cliente ES",Auditoria_ECG0!$Z$2:$Z$177,"E")&gt;0,"E",IF(COUNTIFS(Auditoria_ECG0!$B$2:$B$177,"Atención al cliente ES",Auditoria_ECG0!$Z$2:$Z$177,"C")&gt;0,"C",IF(COUNTIFS(Auditoria_ECG0!$B$2:$B$177,"Atención al cliente ES",Auditoria_ECG0!$Z$2:$Z$177,"G")&gt;0,"G","0")))</f>
        <v>C</v>
      </c>
    </row>
    <row r="18" customFormat="false" ht="15" hidden="false" customHeight="true" outlineLevel="0" collapsed="false">
      <c r="A18" s="10" t="s">
        <v>1173</v>
      </c>
    </row>
    <row r="19" customFormat="false" ht="15" hidden="false" customHeight="true" outlineLevel="0" collapsed="false">
      <c r="A19" s="10" t="s">
        <v>166</v>
      </c>
      <c r="B19" s="10" t="s">
        <v>1174</v>
      </c>
      <c r="D19" s="20" t="s">
        <v>1175</v>
      </c>
    </row>
    <row r="20" customFormat="false" ht="15" hidden="false" customHeight="true" outlineLevel="0" collapsed="false">
      <c r="A20" s="10" t="s">
        <v>169</v>
      </c>
      <c r="B20" s="10" t="s">
        <v>1176</v>
      </c>
    </row>
    <row r="21" customFormat="false" ht="15" hidden="false" customHeight="true" outlineLevel="0" collapsed="false">
      <c r="A21" s="10" t="s">
        <v>172</v>
      </c>
      <c r="B21" s="10" t="s">
        <v>1177</v>
      </c>
    </row>
    <row r="24" customFormat="false" ht="15" hidden="false" customHeight="true" outlineLevel="0" collapsed="false">
      <c r="A24" s="8" t="s">
        <v>1178</v>
      </c>
    </row>
    <row r="25" customFormat="false" ht="23.25" hidden="false" customHeight="true" outlineLevel="0" collapsed="false">
      <c r="A25" s="28" t="s">
        <v>136</v>
      </c>
      <c r="B25" s="28" t="s">
        <v>137</v>
      </c>
      <c r="C25" s="28" t="s">
        <v>194</v>
      </c>
      <c r="D25" s="28" t="s">
        <v>389</v>
      </c>
      <c r="E25" s="28" t="s">
        <v>530</v>
      </c>
      <c r="F25" s="28" t="s">
        <v>758</v>
      </c>
      <c r="G25" s="28" t="s">
        <v>816</v>
      </c>
      <c r="H25" s="28" t="s">
        <v>896</v>
      </c>
      <c r="I25" s="28" t="s">
        <v>939</v>
      </c>
      <c r="J25" s="28" t="s">
        <v>952</v>
      </c>
      <c r="K25" s="28" t="s">
        <v>315</v>
      </c>
    </row>
    <row r="26" customFormat="false" ht="15" hidden="false" customHeight="true" outlineLevel="0" collapsed="false">
      <c r="A26" s="8" t="s">
        <v>139</v>
      </c>
      <c r="B26" s="10" t="s">
        <v>140</v>
      </c>
      <c r="C26" s="17" t="str">
        <f aca="false">IF(COUNTIFS(Auditoria_ECG0!$B$2:$B$177,"Cuenta básica",Auditoria_ECG0!$P$2:$P$177,"E",Auditoria_ECG0!$F$2:$F$177,"&lt;&gt;Futura*",Auditoria_ECG0!$F$2:$F$177,"&lt;&gt;*periodo transitorio*")&gt;0,"E",IF(COUNTIFS(Auditoria_ECG0!$B$2:$B$177,"Cuenta básica",Auditoria_ECG0!$P$2:$P$177,"C",Auditoria_ECG0!$F$2:$F$177,"&lt;&gt;Futura*",Auditoria_ECG0!$F$2:$F$177,"&lt;&gt;*periodo transitorio*")&gt;0,"C",IF(COUNTIFS(Auditoria_ECG0!$B$2:$B$177,"Cuenta básica",Auditoria_ECG0!$P$2:$P$177,"G",Auditoria_ECG0!$F$2:$F$177,"&lt;&gt;Futura*",Auditoria_ECG0!$F$2:$F$177,"&lt;&gt;*periodo transitorio*")&gt;0,"G","0")))</f>
        <v>C</v>
      </c>
      <c r="D26" s="17" t="str">
        <f aca="false">IF(COUNTIFS(Auditoria_ECG0!$B$2:$B$177,"AML",Auditoria_ECG0!$P$2:$P$177,"E",Auditoria_ECG0!$F$2:$F$177,"&lt;&gt;Futura*",Auditoria_ECG0!$F$2:$F$177,"&lt;&gt;*periodo transitorio*")&gt;0,"E",IF(COUNTIFS(Auditoria_ECG0!$B$2:$B$177,"AML",Auditoria_ECG0!$P$2:$P$177,"C",Auditoria_ECG0!$F$2:$F$177,"&lt;&gt;Futura*",Auditoria_ECG0!$F$2:$F$177,"&lt;&gt;*periodo transitorio*")&gt;0,"C",IF(COUNTIFS(Auditoria_ECG0!$B$2:$B$177,"AML",Auditoria_ECG0!$P$2:$P$177,"G",Auditoria_ECG0!$F$2:$F$177,"&lt;&gt;Futura*",Auditoria_ECG0!$F$2:$F$177,"&lt;&gt;*periodo transitorio*")&gt;0,"G","0")))</f>
        <v>E</v>
      </c>
      <c r="E26" s="17" t="str">
        <f aca="false">IF(COUNTIFS(Auditoria_ECG0!$B$2:$B$177,"Directrices EBA",Auditoria_ECG0!$P$2:$P$177,"E",Auditoria_ECG0!$F$2:$F$177,"&lt;&gt;Futura*",Auditoria_ECG0!$F$2:$F$177,"&lt;&gt;*periodo transitorio*")&gt;0,"E",IF(COUNTIFS(Auditoria_ECG0!$B$2:$B$177,"Directrices EBA",Auditoria_ECG0!$P$2:$P$177,"C",Auditoria_ECG0!$F$2:$F$177,"&lt;&gt;Futura*",Auditoria_ECG0!$F$2:$F$177,"&lt;&gt;*periodo transitorio*")&gt;0,"C",IF(COUNTIFS(Auditoria_ECG0!$B$2:$B$177,"Directrices EBA",Auditoria_ECG0!$P$2:$P$177,"G",Auditoria_ECG0!$F$2:$F$177,"&lt;&gt;Futura*",Auditoria_ECG0!$F$2:$F$177,"&lt;&gt;*periodo transitorio*")&gt;0,"G","0")))</f>
        <v>C</v>
      </c>
      <c r="F26" s="17" t="str">
        <f aca="false">IF(COUNTIFS(Auditoria_ECG0!$B$2:$B$177,"RGPD",Auditoria_ECG0!$P$2:$P$177,"E",Auditoria_ECG0!$F$2:$F$177,"&lt;&gt;Futura*",Auditoria_ECG0!$F$2:$F$177,"&lt;&gt;*periodo transitorio*")&gt;0,"E",IF(COUNTIFS(Auditoria_ECG0!$B$2:$B$177,"RGPD",Auditoria_ECG0!$P$2:$P$177,"C",Auditoria_ECG0!$F$2:$F$177,"&lt;&gt;Futura*",Auditoria_ECG0!$F$2:$F$177,"&lt;&gt;*periodo transitorio*")&gt;0,"C",IF(COUNTIFS(Auditoria_ECG0!$B$2:$B$177,"RGPD",Auditoria_ECG0!$P$2:$P$177,"G",Auditoria_ECG0!$F$2:$F$177,"&lt;&gt;Futura*",Auditoria_ECG0!$F$2:$F$177,"&lt;&gt;*periodo transitorio*")&gt;0,"G","0")))</f>
        <v>G</v>
      </c>
      <c r="G26" s="17" t="str">
        <f aca="false">IF(COUNTIFS(Auditoria_ECG0!$B$2:$B$177,"AI Act",Auditoria_ECG0!$P$2:$P$177,"E",Auditoria_ECG0!$F$2:$F$177,"&lt;&gt;Futura*",Auditoria_ECG0!$F$2:$F$177,"&lt;&gt;*periodo transitorio*")&gt;0,"E",IF(COUNTIFS(Auditoria_ECG0!$B$2:$B$177,"AI Act",Auditoria_ECG0!$P$2:$P$177,"C",Auditoria_ECG0!$F$2:$F$177,"&lt;&gt;Futura*",Auditoria_ECG0!$F$2:$F$177,"&lt;&gt;*periodo transitorio*")&gt;0,"C",IF(COUNTIFS(Auditoria_ECG0!$B$2:$B$177,"AI Act",Auditoria_ECG0!$P$2:$P$177,"G",Auditoria_ECG0!$F$2:$F$177,"&lt;&gt;Futura*",Auditoria_ECG0!$F$2:$F$177,"&lt;&gt;*periodo transitorio*")&gt;0,"G","0")))</f>
        <v>0</v>
      </c>
      <c r="H26" s="17" t="str">
        <f aca="false">IF(COUNTIFS(Auditoria_ECG0!$B$2:$B$177,"DORA",Auditoria_ECG0!$P$2:$P$177,"E",Auditoria_ECG0!$F$2:$F$177,"&lt;&gt;Futura*",Auditoria_ECG0!$F$2:$F$177,"&lt;&gt;*periodo transitorio*")&gt;0,"E",IF(COUNTIFS(Auditoria_ECG0!$B$2:$B$177,"DORA",Auditoria_ECG0!$P$2:$P$177,"C",Auditoria_ECG0!$F$2:$F$177,"&lt;&gt;Futura*",Auditoria_ECG0!$F$2:$F$177,"&lt;&gt;*periodo transitorio*")&gt;0,"C",IF(COUNTIFS(Auditoria_ECG0!$B$2:$B$177,"DORA",Auditoria_ECG0!$P$2:$P$177,"G",Auditoria_ECG0!$F$2:$F$177,"&lt;&gt;Futura*",Auditoria_ECG0!$F$2:$F$177,"&lt;&gt;*periodo transitorio*")&gt;0,"G","0")))</f>
        <v>0</v>
      </c>
      <c r="I26" s="17" t="str">
        <f aca="false">IF(COUNTIFS(Auditoria_ECG0!$B$2:$B$177,"eIDAS 2",Auditoria_ECG0!$P$2:$P$177,"E",Auditoria_ECG0!$F$2:$F$177,"&lt;&gt;Futura*",Auditoria_ECG0!$F$2:$F$177,"&lt;&gt;*periodo transitorio*")&gt;0,"E",IF(COUNTIFS(Auditoria_ECG0!$B$2:$B$177,"eIDAS 2",Auditoria_ECG0!$P$2:$P$177,"C",Auditoria_ECG0!$F$2:$F$177,"&lt;&gt;Futura*",Auditoria_ECG0!$F$2:$F$177,"&lt;&gt;*periodo transitorio*")&gt;0,"C",IF(COUNTIFS(Auditoria_ECG0!$B$2:$B$177,"eIDAS 2",Auditoria_ECG0!$P$2:$P$177,"G",Auditoria_ECG0!$F$2:$F$177,"&lt;&gt;Futura*",Auditoria_ECG0!$F$2:$F$177,"&lt;&gt;*periodo transitorio*")&gt;0,"G","0")))</f>
        <v>0</v>
      </c>
      <c r="J26" s="17" t="str">
        <f aca="false">IF(COUNTIFS(Auditoria_ECG0!$B$2:$B$177,"Accesibilidad",Auditoria_ECG0!$P$2:$P$177,"E",Auditoria_ECG0!$F$2:$F$177,"&lt;&gt;Futura*",Auditoria_ECG0!$F$2:$F$177,"&lt;&gt;*periodo transitorio*")&gt;0,"E",IF(COUNTIFS(Auditoria_ECG0!$B$2:$B$177,"Accesibilidad",Auditoria_ECG0!$P$2:$P$177,"C",Auditoria_ECG0!$F$2:$F$177,"&lt;&gt;Futura*",Auditoria_ECG0!$F$2:$F$177,"&lt;&gt;*periodo transitorio*")&gt;0,"C",IF(COUNTIFS(Auditoria_ECG0!$B$2:$B$177,"Accesibilidad",Auditoria_ECG0!$P$2:$P$177,"G",Auditoria_ECG0!$F$2:$F$177,"&lt;&gt;Futura*",Auditoria_ECG0!$F$2:$F$177,"&lt;&gt;*periodo transitorio*")&gt;0,"G","0")))</f>
        <v>G</v>
      </c>
      <c r="K26" s="17" t="str">
        <f aca="false">IF(COUNTIFS(Auditoria_ECG0!$B$2:$B$177,"Atención al cliente ES",Auditoria_ECG0!$P$2:$P$177,"E",Auditoria_ECG0!$F$2:$F$177,"&lt;&gt;Futura*",Auditoria_ECG0!$F$2:$F$177,"&lt;&gt;*periodo transitorio*")&gt;0,"E",IF(COUNTIFS(Auditoria_ECG0!$B$2:$B$177,"Atención al cliente ES",Auditoria_ECG0!$P$2:$P$177,"C",Auditoria_ECG0!$F$2:$F$177,"&lt;&gt;Futura*",Auditoria_ECG0!$F$2:$F$177,"&lt;&gt;*periodo transitorio*")&gt;0,"C",IF(COUNTIFS(Auditoria_ECG0!$B$2:$B$177,"Atención al cliente ES",Auditoria_ECG0!$P$2:$P$177,"G",Auditoria_ECG0!$F$2:$F$177,"&lt;&gt;Futura*",Auditoria_ECG0!$F$2:$F$177,"&lt;&gt;*periodo transitorio*")&gt;0,"G","0")))</f>
        <v>C</v>
      </c>
    </row>
    <row r="27" customFormat="false" ht="15" hidden="false" customHeight="true" outlineLevel="0" collapsed="false">
      <c r="A27" s="8" t="s">
        <v>142</v>
      </c>
      <c r="B27" s="10" t="s">
        <v>143</v>
      </c>
      <c r="C27" s="17" t="str">
        <f aca="false">IF(COUNTIFS(Auditoria_ECG0!$B$2:$B$177,"Cuenta básica",Auditoria_ECG0!$Q$2:$Q$177,"E",Auditoria_ECG0!$F$2:$F$177,"&lt;&gt;Futura*",Auditoria_ECG0!$F$2:$F$177,"&lt;&gt;*periodo transitorio*")&gt;0,"E",IF(COUNTIFS(Auditoria_ECG0!$B$2:$B$177,"Cuenta básica",Auditoria_ECG0!$Q$2:$Q$177,"C",Auditoria_ECG0!$F$2:$F$177,"&lt;&gt;Futura*",Auditoria_ECG0!$F$2:$F$177,"&lt;&gt;*periodo transitorio*")&gt;0,"C",IF(COUNTIFS(Auditoria_ECG0!$B$2:$B$177,"Cuenta básica",Auditoria_ECG0!$Q$2:$Q$177,"G",Auditoria_ECG0!$F$2:$F$177,"&lt;&gt;Futura*",Auditoria_ECG0!$F$2:$F$177,"&lt;&gt;*periodo transitorio*")&gt;0,"G","0")))</f>
        <v>0</v>
      </c>
      <c r="D27" s="17" t="str">
        <f aca="false">IF(COUNTIFS(Auditoria_ECG0!$B$2:$B$177,"AML",Auditoria_ECG0!$Q$2:$Q$177,"E",Auditoria_ECG0!$F$2:$F$177,"&lt;&gt;Futura*",Auditoria_ECG0!$F$2:$F$177,"&lt;&gt;*periodo transitorio*")&gt;0,"E",IF(COUNTIFS(Auditoria_ECG0!$B$2:$B$177,"AML",Auditoria_ECG0!$Q$2:$Q$177,"C",Auditoria_ECG0!$F$2:$F$177,"&lt;&gt;Futura*",Auditoria_ECG0!$F$2:$F$177,"&lt;&gt;*periodo transitorio*")&gt;0,"C",IF(COUNTIFS(Auditoria_ECG0!$B$2:$B$177,"AML",Auditoria_ECG0!$Q$2:$Q$177,"G",Auditoria_ECG0!$F$2:$F$177,"&lt;&gt;Futura*",Auditoria_ECG0!$F$2:$F$177,"&lt;&gt;*periodo transitorio*")&gt;0,"G","0")))</f>
        <v>C</v>
      </c>
      <c r="E27" s="17" t="str">
        <f aca="false">IF(COUNTIFS(Auditoria_ECG0!$B$2:$B$177,"Directrices EBA",Auditoria_ECG0!$Q$2:$Q$177,"E",Auditoria_ECG0!$F$2:$F$177,"&lt;&gt;Futura*",Auditoria_ECG0!$F$2:$F$177,"&lt;&gt;*periodo transitorio*")&gt;0,"E",IF(COUNTIFS(Auditoria_ECG0!$B$2:$B$177,"Directrices EBA",Auditoria_ECG0!$Q$2:$Q$177,"C",Auditoria_ECG0!$F$2:$F$177,"&lt;&gt;Futura*",Auditoria_ECG0!$F$2:$F$177,"&lt;&gt;*periodo transitorio*")&gt;0,"C",IF(COUNTIFS(Auditoria_ECG0!$B$2:$B$177,"Directrices EBA",Auditoria_ECG0!$Q$2:$Q$177,"G",Auditoria_ECG0!$F$2:$F$177,"&lt;&gt;Futura*",Auditoria_ECG0!$F$2:$F$177,"&lt;&gt;*periodo transitorio*")&gt;0,"G","0")))</f>
        <v>0</v>
      </c>
      <c r="F27" s="17" t="str">
        <f aca="false">IF(COUNTIFS(Auditoria_ECG0!$B$2:$B$177,"RGPD",Auditoria_ECG0!$Q$2:$Q$177,"E",Auditoria_ECG0!$F$2:$F$177,"&lt;&gt;Futura*",Auditoria_ECG0!$F$2:$F$177,"&lt;&gt;*periodo transitorio*")&gt;0,"E",IF(COUNTIFS(Auditoria_ECG0!$B$2:$B$177,"RGPD",Auditoria_ECG0!$Q$2:$Q$177,"C",Auditoria_ECG0!$F$2:$F$177,"&lt;&gt;Futura*",Auditoria_ECG0!$F$2:$F$177,"&lt;&gt;*periodo transitorio*")&gt;0,"C",IF(COUNTIFS(Auditoria_ECG0!$B$2:$B$177,"RGPD",Auditoria_ECG0!$Q$2:$Q$177,"G",Auditoria_ECG0!$F$2:$F$177,"&lt;&gt;Futura*",Auditoria_ECG0!$F$2:$F$177,"&lt;&gt;*periodo transitorio*")&gt;0,"G","0")))</f>
        <v>0</v>
      </c>
      <c r="G27" s="17" t="str">
        <f aca="false">IF(COUNTIFS(Auditoria_ECG0!$B$2:$B$177,"AI Act",Auditoria_ECG0!$Q$2:$Q$177,"E",Auditoria_ECG0!$F$2:$F$177,"&lt;&gt;Futura*",Auditoria_ECG0!$F$2:$F$177,"&lt;&gt;*periodo transitorio*")&gt;0,"E",IF(COUNTIFS(Auditoria_ECG0!$B$2:$B$177,"AI Act",Auditoria_ECG0!$Q$2:$Q$177,"C",Auditoria_ECG0!$F$2:$F$177,"&lt;&gt;Futura*",Auditoria_ECG0!$F$2:$F$177,"&lt;&gt;*periodo transitorio*")&gt;0,"C",IF(COUNTIFS(Auditoria_ECG0!$B$2:$B$177,"AI Act",Auditoria_ECG0!$Q$2:$Q$177,"G",Auditoria_ECG0!$F$2:$F$177,"&lt;&gt;Futura*",Auditoria_ECG0!$F$2:$F$177,"&lt;&gt;*periodo transitorio*")&gt;0,"G","0")))</f>
        <v>0</v>
      </c>
      <c r="H27" s="17" t="str">
        <f aca="false">IF(COUNTIFS(Auditoria_ECG0!$B$2:$B$177,"DORA",Auditoria_ECG0!$Q$2:$Q$177,"E",Auditoria_ECG0!$F$2:$F$177,"&lt;&gt;Futura*",Auditoria_ECG0!$F$2:$F$177,"&lt;&gt;*periodo transitorio*")&gt;0,"E",IF(COUNTIFS(Auditoria_ECG0!$B$2:$B$177,"DORA",Auditoria_ECG0!$Q$2:$Q$177,"C",Auditoria_ECG0!$F$2:$F$177,"&lt;&gt;Futura*",Auditoria_ECG0!$F$2:$F$177,"&lt;&gt;*periodo transitorio*")&gt;0,"C",IF(COUNTIFS(Auditoria_ECG0!$B$2:$B$177,"DORA",Auditoria_ECG0!$Q$2:$Q$177,"G",Auditoria_ECG0!$F$2:$F$177,"&lt;&gt;Futura*",Auditoria_ECG0!$F$2:$F$177,"&lt;&gt;*periodo transitorio*")&gt;0,"G","0")))</f>
        <v>0</v>
      </c>
      <c r="I27" s="17" t="str">
        <f aca="false">IF(COUNTIFS(Auditoria_ECG0!$B$2:$B$177,"eIDAS 2",Auditoria_ECG0!$Q$2:$Q$177,"E",Auditoria_ECG0!$F$2:$F$177,"&lt;&gt;Futura*",Auditoria_ECG0!$F$2:$F$177,"&lt;&gt;*periodo transitorio*")&gt;0,"E",IF(COUNTIFS(Auditoria_ECG0!$B$2:$B$177,"eIDAS 2",Auditoria_ECG0!$Q$2:$Q$177,"C",Auditoria_ECG0!$F$2:$F$177,"&lt;&gt;Futura*",Auditoria_ECG0!$F$2:$F$177,"&lt;&gt;*periodo transitorio*")&gt;0,"C",IF(COUNTIFS(Auditoria_ECG0!$B$2:$B$177,"eIDAS 2",Auditoria_ECG0!$Q$2:$Q$177,"G",Auditoria_ECG0!$F$2:$F$177,"&lt;&gt;Futura*",Auditoria_ECG0!$F$2:$F$177,"&lt;&gt;*periodo transitorio*")&gt;0,"G","0")))</f>
        <v>0</v>
      </c>
      <c r="J27" s="17" t="str">
        <f aca="false">IF(COUNTIFS(Auditoria_ECG0!$B$2:$B$177,"Accesibilidad",Auditoria_ECG0!$Q$2:$Q$177,"E",Auditoria_ECG0!$F$2:$F$177,"&lt;&gt;Futura*",Auditoria_ECG0!$F$2:$F$177,"&lt;&gt;*periodo transitorio*")&gt;0,"E",IF(COUNTIFS(Auditoria_ECG0!$B$2:$B$177,"Accesibilidad",Auditoria_ECG0!$Q$2:$Q$177,"C",Auditoria_ECG0!$F$2:$F$177,"&lt;&gt;Futura*",Auditoria_ECG0!$F$2:$F$177,"&lt;&gt;*periodo transitorio*")&gt;0,"C",IF(COUNTIFS(Auditoria_ECG0!$B$2:$B$177,"Accesibilidad",Auditoria_ECG0!$Q$2:$Q$177,"G",Auditoria_ECG0!$F$2:$F$177,"&lt;&gt;Futura*",Auditoria_ECG0!$F$2:$F$177,"&lt;&gt;*periodo transitorio*")&gt;0,"G","0")))</f>
        <v>G</v>
      </c>
      <c r="K27" s="17" t="str">
        <f aca="false">IF(COUNTIFS(Auditoria_ECG0!$B$2:$B$177,"Atención al cliente ES",Auditoria_ECG0!$Q$2:$Q$177,"E",Auditoria_ECG0!$F$2:$F$177,"&lt;&gt;Futura*",Auditoria_ECG0!$F$2:$F$177,"&lt;&gt;*periodo transitorio*")&gt;0,"E",IF(COUNTIFS(Auditoria_ECG0!$B$2:$B$177,"Atención al cliente ES",Auditoria_ECG0!$Q$2:$Q$177,"C",Auditoria_ECG0!$F$2:$F$177,"&lt;&gt;Futura*",Auditoria_ECG0!$F$2:$F$177,"&lt;&gt;*periodo transitorio*")&gt;0,"C",IF(COUNTIFS(Auditoria_ECG0!$B$2:$B$177,"Atención al cliente ES",Auditoria_ECG0!$Q$2:$Q$177,"G",Auditoria_ECG0!$F$2:$F$177,"&lt;&gt;Futura*",Auditoria_ECG0!$F$2:$F$177,"&lt;&gt;*periodo transitorio*")&gt;0,"G","0")))</f>
        <v>0</v>
      </c>
    </row>
    <row r="28" customFormat="false" ht="15" hidden="false" customHeight="true" outlineLevel="0" collapsed="false">
      <c r="A28" s="8" t="s">
        <v>144</v>
      </c>
      <c r="B28" s="10" t="s">
        <v>145</v>
      </c>
      <c r="C28" s="17" t="str">
        <f aca="false">IF(COUNTIFS(Auditoria_ECG0!$B$2:$B$177,"Cuenta básica",Auditoria_ECG0!$R$2:$R$177,"E",Auditoria_ECG0!$F$2:$F$177,"&lt;&gt;Futura*",Auditoria_ECG0!$F$2:$F$177,"&lt;&gt;*periodo transitorio*")&gt;0,"E",IF(COUNTIFS(Auditoria_ECG0!$B$2:$B$177,"Cuenta básica",Auditoria_ECG0!$R$2:$R$177,"C",Auditoria_ECG0!$F$2:$F$177,"&lt;&gt;Futura*",Auditoria_ECG0!$F$2:$F$177,"&lt;&gt;*periodo transitorio*")&gt;0,"C",IF(COUNTIFS(Auditoria_ECG0!$B$2:$B$177,"Cuenta básica",Auditoria_ECG0!$R$2:$R$177,"G",Auditoria_ECG0!$F$2:$F$177,"&lt;&gt;Futura*",Auditoria_ECG0!$F$2:$F$177,"&lt;&gt;*periodo transitorio*")&gt;0,"G","0")))</f>
        <v>0</v>
      </c>
      <c r="D28" s="17" t="str">
        <f aca="false">IF(COUNTIFS(Auditoria_ECG0!$B$2:$B$177,"AML",Auditoria_ECG0!$R$2:$R$177,"E",Auditoria_ECG0!$F$2:$F$177,"&lt;&gt;Futura*",Auditoria_ECG0!$F$2:$F$177,"&lt;&gt;*periodo transitorio*")&gt;0,"E",IF(COUNTIFS(Auditoria_ECG0!$B$2:$B$177,"AML",Auditoria_ECG0!$R$2:$R$177,"C",Auditoria_ECG0!$F$2:$F$177,"&lt;&gt;Futura*",Auditoria_ECG0!$F$2:$F$177,"&lt;&gt;*periodo transitorio*")&gt;0,"C",IF(COUNTIFS(Auditoria_ECG0!$B$2:$B$177,"AML",Auditoria_ECG0!$R$2:$R$177,"G",Auditoria_ECG0!$F$2:$F$177,"&lt;&gt;Futura*",Auditoria_ECG0!$F$2:$F$177,"&lt;&gt;*periodo transitorio*")&gt;0,"G","0")))</f>
        <v>0</v>
      </c>
      <c r="E28" s="17" t="str">
        <f aca="false">IF(COUNTIFS(Auditoria_ECG0!$B$2:$B$177,"Directrices EBA",Auditoria_ECG0!$R$2:$R$177,"E",Auditoria_ECG0!$F$2:$F$177,"&lt;&gt;Futura*",Auditoria_ECG0!$F$2:$F$177,"&lt;&gt;*periodo transitorio*")&gt;0,"E",IF(COUNTIFS(Auditoria_ECG0!$B$2:$B$177,"Directrices EBA",Auditoria_ECG0!$R$2:$R$177,"C",Auditoria_ECG0!$F$2:$F$177,"&lt;&gt;Futura*",Auditoria_ECG0!$F$2:$F$177,"&lt;&gt;*periodo transitorio*")&gt;0,"C",IF(COUNTIFS(Auditoria_ECG0!$B$2:$B$177,"Directrices EBA",Auditoria_ECG0!$R$2:$R$177,"G",Auditoria_ECG0!$F$2:$F$177,"&lt;&gt;Futura*",Auditoria_ECG0!$F$2:$F$177,"&lt;&gt;*periodo transitorio*")&gt;0,"G","0")))</f>
        <v>C</v>
      </c>
      <c r="F28" s="17" t="str">
        <f aca="false">IF(COUNTIFS(Auditoria_ECG0!$B$2:$B$177,"RGPD",Auditoria_ECG0!$R$2:$R$177,"E",Auditoria_ECG0!$F$2:$F$177,"&lt;&gt;Futura*",Auditoria_ECG0!$F$2:$F$177,"&lt;&gt;*periodo transitorio*")&gt;0,"E",IF(COUNTIFS(Auditoria_ECG0!$B$2:$B$177,"RGPD",Auditoria_ECG0!$R$2:$R$177,"C",Auditoria_ECG0!$F$2:$F$177,"&lt;&gt;Futura*",Auditoria_ECG0!$F$2:$F$177,"&lt;&gt;*periodo transitorio*")&gt;0,"C",IF(COUNTIFS(Auditoria_ECG0!$B$2:$B$177,"RGPD",Auditoria_ECG0!$R$2:$R$177,"G",Auditoria_ECG0!$F$2:$F$177,"&lt;&gt;Futura*",Auditoria_ECG0!$F$2:$F$177,"&lt;&gt;*periodo transitorio*")&gt;0,"G","0")))</f>
        <v>0</v>
      </c>
      <c r="G28" s="17" t="str">
        <f aca="false">IF(COUNTIFS(Auditoria_ECG0!$B$2:$B$177,"AI Act",Auditoria_ECG0!$R$2:$R$177,"E",Auditoria_ECG0!$F$2:$F$177,"&lt;&gt;Futura*",Auditoria_ECG0!$F$2:$F$177,"&lt;&gt;*periodo transitorio*")&gt;0,"E",IF(COUNTIFS(Auditoria_ECG0!$B$2:$B$177,"AI Act",Auditoria_ECG0!$R$2:$R$177,"C",Auditoria_ECG0!$F$2:$F$177,"&lt;&gt;Futura*",Auditoria_ECG0!$F$2:$F$177,"&lt;&gt;*periodo transitorio*")&gt;0,"C",IF(COUNTIFS(Auditoria_ECG0!$B$2:$B$177,"AI Act",Auditoria_ECG0!$R$2:$R$177,"G",Auditoria_ECG0!$F$2:$F$177,"&lt;&gt;Futura*",Auditoria_ECG0!$F$2:$F$177,"&lt;&gt;*periodo transitorio*")&gt;0,"G","0")))</f>
        <v>0</v>
      </c>
      <c r="H28" s="17" t="str">
        <f aca="false">IF(COUNTIFS(Auditoria_ECG0!$B$2:$B$177,"DORA",Auditoria_ECG0!$R$2:$R$177,"E",Auditoria_ECG0!$F$2:$F$177,"&lt;&gt;Futura*",Auditoria_ECG0!$F$2:$F$177,"&lt;&gt;*periodo transitorio*")&gt;0,"E",IF(COUNTIFS(Auditoria_ECG0!$B$2:$B$177,"DORA",Auditoria_ECG0!$R$2:$R$177,"C",Auditoria_ECG0!$F$2:$F$177,"&lt;&gt;Futura*",Auditoria_ECG0!$F$2:$F$177,"&lt;&gt;*periodo transitorio*")&gt;0,"C",IF(COUNTIFS(Auditoria_ECG0!$B$2:$B$177,"DORA",Auditoria_ECG0!$R$2:$R$177,"G",Auditoria_ECG0!$F$2:$F$177,"&lt;&gt;Futura*",Auditoria_ECG0!$F$2:$F$177,"&lt;&gt;*periodo transitorio*")&gt;0,"G","0")))</f>
        <v>C</v>
      </c>
      <c r="I28" s="17" t="str">
        <f aca="false">IF(COUNTIFS(Auditoria_ECG0!$B$2:$B$177,"eIDAS 2",Auditoria_ECG0!$R$2:$R$177,"E",Auditoria_ECG0!$F$2:$F$177,"&lt;&gt;Futura*",Auditoria_ECG0!$F$2:$F$177,"&lt;&gt;*periodo transitorio*")&gt;0,"E",IF(COUNTIFS(Auditoria_ECG0!$B$2:$B$177,"eIDAS 2",Auditoria_ECG0!$R$2:$R$177,"C",Auditoria_ECG0!$F$2:$F$177,"&lt;&gt;Futura*",Auditoria_ECG0!$F$2:$F$177,"&lt;&gt;*periodo transitorio*")&gt;0,"C",IF(COUNTIFS(Auditoria_ECG0!$B$2:$B$177,"eIDAS 2",Auditoria_ECG0!$R$2:$R$177,"G",Auditoria_ECG0!$F$2:$F$177,"&lt;&gt;Futura*",Auditoria_ECG0!$F$2:$F$177,"&lt;&gt;*periodo transitorio*")&gt;0,"G","0")))</f>
        <v>0</v>
      </c>
      <c r="J28" s="17" t="str">
        <f aca="false">IF(COUNTIFS(Auditoria_ECG0!$B$2:$B$177,"Accesibilidad",Auditoria_ECG0!$R$2:$R$177,"E",Auditoria_ECG0!$F$2:$F$177,"&lt;&gt;Futura*",Auditoria_ECG0!$F$2:$F$177,"&lt;&gt;*periodo transitorio*")&gt;0,"E",IF(COUNTIFS(Auditoria_ECG0!$B$2:$B$177,"Accesibilidad",Auditoria_ECG0!$R$2:$R$177,"C",Auditoria_ECG0!$F$2:$F$177,"&lt;&gt;Futura*",Auditoria_ECG0!$F$2:$F$177,"&lt;&gt;*periodo transitorio*")&gt;0,"C",IF(COUNTIFS(Auditoria_ECG0!$B$2:$B$177,"Accesibilidad",Auditoria_ECG0!$R$2:$R$177,"G",Auditoria_ECG0!$F$2:$F$177,"&lt;&gt;Futura*",Auditoria_ECG0!$F$2:$F$177,"&lt;&gt;*periodo transitorio*")&gt;0,"G","0")))</f>
        <v>0</v>
      </c>
      <c r="K28" s="17" t="str">
        <f aca="false">IF(COUNTIFS(Auditoria_ECG0!$B$2:$B$177,"Atención al cliente ES",Auditoria_ECG0!$R$2:$R$177,"E",Auditoria_ECG0!$F$2:$F$177,"&lt;&gt;Futura*",Auditoria_ECG0!$F$2:$F$177,"&lt;&gt;*periodo transitorio*")&gt;0,"E",IF(COUNTIFS(Auditoria_ECG0!$B$2:$B$177,"Atención al cliente ES",Auditoria_ECG0!$R$2:$R$177,"C",Auditoria_ECG0!$F$2:$F$177,"&lt;&gt;Futura*",Auditoria_ECG0!$F$2:$F$177,"&lt;&gt;*periodo transitorio*")&gt;0,"C",IF(COUNTIFS(Auditoria_ECG0!$B$2:$B$177,"Atención al cliente ES",Auditoria_ECG0!$R$2:$R$177,"G",Auditoria_ECG0!$F$2:$F$177,"&lt;&gt;Futura*",Auditoria_ECG0!$F$2:$F$177,"&lt;&gt;*periodo transitorio*")&gt;0,"G","0")))</f>
        <v>0</v>
      </c>
    </row>
    <row r="29" customFormat="false" ht="15" hidden="false" customHeight="true" outlineLevel="0" collapsed="false">
      <c r="A29" s="8" t="s">
        <v>146</v>
      </c>
      <c r="B29" s="10" t="s">
        <v>147</v>
      </c>
      <c r="C29" s="17" t="str">
        <f aca="false">IF(COUNTIFS(Auditoria_ECG0!$B$2:$B$177,"Cuenta básica",Auditoria_ECG0!$S$2:$S$177,"E",Auditoria_ECG0!$F$2:$F$177,"&lt;&gt;Futura*",Auditoria_ECG0!$F$2:$F$177,"&lt;&gt;*periodo transitorio*")&gt;0,"E",IF(COUNTIFS(Auditoria_ECG0!$B$2:$B$177,"Cuenta básica",Auditoria_ECG0!$S$2:$S$177,"C",Auditoria_ECG0!$F$2:$F$177,"&lt;&gt;Futura*",Auditoria_ECG0!$F$2:$F$177,"&lt;&gt;*periodo transitorio*")&gt;0,"C",IF(COUNTIFS(Auditoria_ECG0!$B$2:$B$177,"Cuenta básica",Auditoria_ECG0!$S$2:$S$177,"G",Auditoria_ECG0!$F$2:$F$177,"&lt;&gt;Futura*",Auditoria_ECG0!$F$2:$F$177,"&lt;&gt;*periodo transitorio*")&gt;0,"G","0")))</f>
        <v>0</v>
      </c>
      <c r="D29" s="17" t="str">
        <f aca="false">IF(COUNTIFS(Auditoria_ECG0!$B$2:$B$177,"AML",Auditoria_ECG0!$S$2:$S$177,"E",Auditoria_ECG0!$F$2:$F$177,"&lt;&gt;Futura*",Auditoria_ECG0!$F$2:$F$177,"&lt;&gt;*periodo transitorio*")&gt;0,"E",IF(COUNTIFS(Auditoria_ECG0!$B$2:$B$177,"AML",Auditoria_ECG0!$S$2:$S$177,"C",Auditoria_ECG0!$F$2:$F$177,"&lt;&gt;Futura*",Auditoria_ECG0!$F$2:$F$177,"&lt;&gt;*periodo transitorio*")&gt;0,"C",IF(COUNTIFS(Auditoria_ECG0!$B$2:$B$177,"AML",Auditoria_ECG0!$S$2:$S$177,"G",Auditoria_ECG0!$F$2:$F$177,"&lt;&gt;Futura*",Auditoria_ECG0!$F$2:$F$177,"&lt;&gt;*periodo transitorio*")&gt;0,"G","0")))</f>
        <v>E</v>
      </c>
      <c r="E29" s="17" t="str">
        <f aca="false">IF(COUNTIFS(Auditoria_ECG0!$B$2:$B$177,"Directrices EBA",Auditoria_ECG0!$S$2:$S$177,"E",Auditoria_ECG0!$F$2:$F$177,"&lt;&gt;Futura*",Auditoria_ECG0!$F$2:$F$177,"&lt;&gt;*periodo transitorio*")&gt;0,"E",IF(COUNTIFS(Auditoria_ECG0!$B$2:$B$177,"Directrices EBA",Auditoria_ECG0!$S$2:$S$177,"C",Auditoria_ECG0!$F$2:$F$177,"&lt;&gt;Futura*",Auditoria_ECG0!$F$2:$F$177,"&lt;&gt;*periodo transitorio*")&gt;0,"C",IF(COUNTIFS(Auditoria_ECG0!$B$2:$B$177,"Directrices EBA",Auditoria_ECG0!$S$2:$S$177,"G",Auditoria_ECG0!$F$2:$F$177,"&lt;&gt;Futura*",Auditoria_ECG0!$F$2:$F$177,"&lt;&gt;*periodo transitorio*")&gt;0,"G","0")))</f>
        <v>E</v>
      </c>
      <c r="F29" s="17" t="str">
        <f aca="false">IF(COUNTIFS(Auditoria_ECG0!$B$2:$B$177,"RGPD",Auditoria_ECG0!$S$2:$S$177,"E",Auditoria_ECG0!$F$2:$F$177,"&lt;&gt;Futura*",Auditoria_ECG0!$F$2:$F$177,"&lt;&gt;*periodo transitorio*")&gt;0,"E",IF(COUNTIFS(Auditoria_ECG0!$B$2:$B$177,"RGPD",Auditoria_ECG0!$S$2:$S$177,"C",Auditoria_ECG0!$F$2:$F$177,"&lt;&gt;Futura*",Auditoria_ECG0!$F$2:$F$177,"&lt;&gt;*periodo transitorio*")&gt;0,"C",IF(COUNTIFS(Auditoria_ECG0!$B$2:$B$177,"RGPD",Auditoria_ECG0!$S$2:$S$177,"G",Auditoria_ECG0!$F$2:$F$177,"&lt;&gt;Futura*",Auditoria_ECG0!$F$2:$F$177,"&lt;&gt;*periodo transitorio*")&gt;0,"G","0")))</f>
        <v>0</v>
      </c>
      <c r="G29" s="17" t="str">
        <f aca="false">IF(COUNTIFS(Auditoria_ECG0!$B$2:$B$177,"AI Act",Auditoria_ECG0!$S$2:$S$177,"E",Auditoria_ECG0!$F$2:$F$177,"&lt;&gt;Futura*",Auditoria_ECG0!$F$2:$F$177,"&lt;&gt;*periodo transitorio*")&gt;0,"E",IF(COUNTIFS(Auditoria_ECG0!$B$2:$B$177,"AI Act",Auditoria_ECG0!$S$2:$S$177,"C",Auditoria_ECG0!$F$2:$F$177,"&lt;&gt;Futura*",Auditoria_ECG0!$F$2:$F$177,"&lt;&gt;*periodo transitorio*")&gt;0,"C",IF(COUNTIFS(Auditoria_ECG0!$B$2:$B$177,"AI Act",Auditoria_ECG0!$S$2:$S$177,"G",Auditoria_ECG0!$F$2:$F$177,"&lt;&gt;Futura*",Auditoria_ECG0!$F$2:$F$177,"&lt;&gt;*periodo transitorio*")&gt;0,"G","0")))</f>
        <v>0</v>
      </c>
      <c r="H29" s="17" t="str">
        <f aca="false">IF(COUNTIFS(Auditoria_ECG0!$B$2:$B$177,"DORA",Auditoria_ECG0!$S$2:$S$177,"E",Auditoria_ECG0!$F$2:$F$177,"&lt;&gt;Futura*",Auditoria_ECG0!$F$2:$F$177,"&lt;&gt;*periodo transitorio*")&gt;0,"E",IF(COUNTIFS(Auditoria_ECG0!$B$2:$B$177,"DORA",Auditoria_ECG0!$S$2:$S$177,"C",Auditoria_ECG0!$F$2:$F$177,"&lt;&gt;Futura*",Auditoria_ECG0!$F$2:$F$177,"&lt;&gt;*periodo transitorio*")&gt;0,"C",IF(COUNTIFS(Auditoria_ECG0!$B$2:$B$177,"DORA",Auditoria_ECG0!$S$2:$S$177,"G",Auditoria_ECG0!$F$2:$F$177,"&lt;&gt;Futura*",Auditoria_ECG0!$F$2:$F$177,"&lt;&gt;*periodo transitorio*")&gt;0,"G","0")))</f>
        <v>0</v>
      </c>
      <c r="I29" s="17" t="str">
        <f aca="false">IF(COUNTIFS(Auditoria_ECG0!$B$2:$B$177,"eIDAS 2",Auditoria_ECG0!$S$2:$S$177,"E",Auditoria_ECG0!$F$2:$F$177,"&lt;&gt;Futura*",Auditoria_ECG0!$F$2:$F$177,"&lt;&gt;*periodo transitorio*")&gt;0,"E",IF(COUNTIFS(Auditoria_ECG0!$B$2:$B$177,"eIDAS 2",Auditoria_ECG0!$S$2:$S$177,"C",Auditoria_ECG0!$F$2:$F$177,"&lt;&gt;Futura*",Auditoria_ECG0!$F$2:$F$177,"&lt;&gt;*periodo transitorio*")&gt;0,"C",IF(COUNTIFS(Auditoria_ECG0!$B$2:$B$177,"eIDAS 2",Auditoria_ECG0!$S$2:$S$177,"G",Auditoria_ECG0!$F$2:$F$177,"&lt;&gt;Futura*",Auditoria_ECG0!$F$2:$F$177,"&lt;&gt;*periodo transitorio*")&gt;0,"G","0")))</f>
        <v>0</v>
      </c>
      <c r="J29" s="17" t="str">
        <f aca="false">IF(COUNTIFS(Auditoria_ECG0!$B$2:$B$177,"Accesibilidad",Auditoria_ECG0!$S$2:$S$177,"E",Auditoria_ECG0!$F$2:$F$177,"&lt;&gt;Futura*",Auditoria_ECG0!$F$2:$F$177,"&lt;&gt;*periodo transitorio*")&gt;0,"E",IF(COUNTIFS(Auditoria_ECG0!$B$2:$B$177,"Accesibilidad",Auditoria_ECG0!$S$2:$S$177,"C",Auditoria_ECG0!$F$2:$F$177,"&lt;&gt;Futura*",Auditoria_ECG0!$F$2:$F$177,"&lt;&gt;*periodo transitorio*")&gt;0,"C",IF(COUNTIFS(Auditoria_ECG0!$B$2:$B$177,"Accesibilidad",Auditoria_ECG0!$S$2:$S$177,"G",Auditoria_ECG0!$F$2:$F$177,"&lt;&gt;Futura*",Auditoria_ECG0!$F$2:$F$177,"&lt;&gt;*periodo transitorio*")&gt;0,"G","0")))</f>
        <v>0</v>
      </c>
      <c r="K29" s="17" t="str">
        <f aca="false">IF(COUNTIFS(Auditoria_ECG0!$B$2:$B$177,"Atención al cliente ES",Auditoria_ECG0!$S$2:$S$177,"E",Auditoria_ECG0!$F$2:$F$177,"&lt;&gt;Futura*",Auditoria_ECG0!$F$2:$F$177,"&lt;&gt;*periodo transitorio*")&gt;0,"E",IF(COUNTIFS(Auditoria_ECG0!$B$2:$B$177,"Atención al cliente ES",Auditoria_ECG0!$S$2:$S$177,"C",Auditoria_ECG0!$F$2:$F$177,"&lt;&gt;Futura*",Auditoria_ECG0!$F$2:$F$177,"&lt;&gt;*periodo transitorio*")&gt;0,"C",IF(COUNTIFS(Auditoria_ECG0!$B$2:$B$177,"Atención al cliente ES",Auditoria_ECG0!$S$2:$S$177,"G",Auditoria_ECG0!$F$2:$F$177,"&lt;&gt;Futura*",Auditoria_ECG0!$F$2:$F$177,"&lt;&gt;*periodo transitorio*")&gt;0,"G","0")))</f>
        <v>0</v>
      </c>
    </row>
    <row r="30" customFormat="false" ht="15" hidden="false" customHeight="true" outlineLevel="0" collapsed="false">
      <c r="A30" s="8" t="s">
        <v>148</v>
      </c>
      <c r="B30" s="10" t="s">
        <v>149</v>
      </c>
      <c r="C30" s="17" t="str">
        <f aca="false">IF(COUNTIFS(Auditoria_ECG0!$B$2:$B$177,"Cuenta básica",Auditoria_ECG0!$T$2:$T$177,"E",Auditoria_ECG0!$F$2:$F$177,"&lt;&gt;Futura*",Auditoria_ECG0!$F$2:$F$177,"&lt;&gt;*periodo transitorio*")&gt;0,"E",IF(COUNTIFS(Auditoria_ECG0!$B$2:$B$177,"Cuenta básica",Auditoria_ECG0!$T$2:$T$177,"C",Auditoria_ECG0!$F$2:$F$177,"&lt;&gt;Futura*",Auditoria_ECG0!$F$2:$F$177,"&lt;&gt;*periodo transitorio*")&gt;0,"C",IF(COUNTIFS(Auditoria_ECG0!$B$2:$B$177,"Cuenta básica",Auditoria_ECG0!$T$2:$T$177,"G",Auditoria_ECG0!$F$2:$F$177,"&lt;&gt;Futura*",Auditoria_ECG0!$F$2:$F$177,"&lt;&gt;*periodo transitorio*")&gt;0,"G","0")))</f>
        <v>C</v>
      </c>
      <c r="D30" s="17" t="str">
        <f aca="false">IF(COUNTIFS(Auditoria_ECG0!$B$2:$B$177,"AML",Auditoria_ECG0!$T$2:$T$177,"E",Auditoria_ECG0!$F$2:$F$177,"&lt;&gt;Futura*",Auditoria_ECG0!$F$2:$F$177,"&lt;&gt;*periodo transitorio*")&gt;0,"E",IF(COUNTIFS(Auditoria_ECG0!$B$2:$B$177,"AML",Auditoria_ECG0!$T$2:$T$177,"C",Auditoria_ECG0!$F$2:$F$177,"&lt;&gt;Futura*",Auditoria_ECG0!$F$2:$F$177,"&lt;&gt;*periodo transitorio*")&gt;0,"C",IF(COUNTIFS(Auditoria_ECG0!$B$2:$B$177,"AML",Auditoria_ECG0!$T$2:$T$177,"G",Auditoria_ECG0!$F$2:$F$177,"&lt;&gt;Futura*",Auditoria_ECG0!$F$2:$F$177,"&lt;&gt;*periodo transitorio*")&gt;0,"G","0")))</f>
        <v>E</v>
      </c>
      <c r="E30" s="17" t="str">
        <f aca="false">IF(COUNTIFS(Auditoria_ECG0!$B$2:$B$177,"Directrices EBA",Auditoria_ECG0!$T$2:$T$177,"E",Auditoria_ECG0!$F$2:$F$177,"&lt;&gt;Futura*",Auditoria_ECG0!$F$2:$F$177,"&lt;&gt;*periodo transitorio*")&gt;0,"E",IF(COUNTIFS(Auditoria_ECG0!$B$2:$B$177,"Directrices EBA",Auditoria_ECG0!$T$2:$T$177,"C",Auditoria_ECG0!$F$2:$F$177,"&lt;&gt;Futura*",Auditoria_ECG0!$F$2:$F$177,"&lt;&gt;*periodo transitorio*")&gt;0,"C",IF(COUNTIFS(Auditoria_ECG0!$B$2:$B$177,"Directrices EBA",Auditoria_ECG0!$T$2:$T$177,"G",Auditoria_ECG0!$F$2:$F$177,"&lt;&gt;Futura*",Auditoria_ECG0!$F$2:$F$177,"&lt;&gt;*periodo transitorio*")&gt;0,"G","0")))</f>
        <v>E</v>
      </c>
      <c r="F30" s="17" t="str">
        <f aca="false">IF(COUNTIFS(Auditoria_ECG0!$B$2:$B$177,"RGPD",Auditoria_ECG0!$T$2:$T$177,"E",Auditoria_ECG0!$F$2:$F$177,"&lt;&gt;Futura*",Auditoria_ECG0!$F$2:$F$177,"&lt;&gt;*periodo transitorio*")&gt;0,"E",IF(COUNTIFS(Auditoria_ECG0!$B$2:$B$177,"RGPD",Auditoria_ECG0!$T$2:$T$177,"C",Auditoria_ECG0!$F$2:$F$177,"&lt;&gt;Futura*",Auditoria_ECG0!$F$2:$F$177,"&lt;&gt;*periodo transitorio*")&gt;0,"C",IF(COUNTIFS(Auditoria_ECG0!$B$2:$B$177,"RGPD",Auditoria_ECG0!$T$2:$T$177,"G",Auditoria_ECG0!$F$2:$F$177,"&lt;&gt;Futura*",Auditoria_ECG0!$F$2:$F$177,"&lt;&gt;*periodo transitorio*")&gt;0,"G","0")))</f>
        <v>0</v>
      </c>
      <c r="G30" s="17" t="str">
        <f aca="false">IF(COUNTIFS(Auditoria_ECG0!$B$2:$B$177,"AI Act",Auditoria_ECG0!$T$2:$T$177,"E",Auditoria_ECG0!$F$2:$F$177,"&lt;&gt;Futura*",Auditoria_ECG0!$F$2:$F$177,"&lt;&gt;*periodo transitorio*")&gt;0,"E",IF(COUNTIFS(Auditoria_ECG0!$B$2:$B$177,"AI Act",Auditoria_ECG0!$T$2:$T$177,"C",Auditoria_ECG0!$F$2:$F$177,"&lt;&gt;Futura*",Auditoria_ECG0!$F$2:$F$177,"&lt;&gt;*periodo transitorio*")&gt;0,"C",IF(COUNTIFS(Auditoria_ECG0!$B$2:$B$177,"AI Act",Auditoria_ECG0!$T$2:$T$177,"G",Auditoria_ECG0!$F$2:$F$177,"&lt;&gt;Futura*",Auditoria_ECG0!$F$2:$F$177,"&lt;&gt;*periodo transitorio*")&gt;0,"G","0")))</f>
        <v>0</v>
      </c>
      <c r="H30" s="17" t="str">
        <f aca="false">IF(COUNTIFS(Auditoria_ECG0!$B$2:$B$177,"DORA",Auditoria_ECG0!$T$2:$T$177,"E",Auditoria_ECG0!$F$2:$F$177,"&lt;&gt;Futura*",Auditoria_ECG0!$F$2:$F$177,"&lt;&gt;*periodo transitorio*")&gt;0,"E",IF(COUNTIFS(Auditoria_ECG0!$B$2:$B$177,"DORA",Auditoria_ECG0!$T$2:$T$177,"C",Auditoria_ECG0!$F$2:$F$177,"&lt;&gt;Futura*",Auditoria_ECG0!$F$2:$F$177,"&lt;&gt;*periodo transitorio*")&gt;0,"C",IF(COUNTIFS(Auditoria_ECG0!$B$2:$B$177,"DORA",Auditoria_ECG0!$T$2:$T$177,"G",Auditoria_ECG0!$F$2:$F$177,"&lt;&gt;Futura*",Auditoria_ECG0!$F$2:$F$177,"&lt;&gt;*periodo transitorio*")&gt;0,"G","0")))</f>
        <v>0</v>
      </c>
      <c r="I30" s="17" t="str">
        <f aca="false">IF(COUNTIFS(Auditoria_ECG0!$B$2:$B$177,"eIDAS 2",Auditoria_ECG0!$T$2:$T$177,"E",Auditoria_ECG0!$F$2:$F$177,"&lt;&gt;Futura*",Auditoria_ECG0!$F$2:$F$177,"&lt;&gt;*periodo transitorio*")&gt;0,"E",IF(COUNTIFS(Auditoria_ECG0!$B$2:$B$177,"eIDAS 2",Auditoria_ECG0!$T$2:$T$177,"C",Auditoria_ECG0!$F$2:$F$177,"&lt;&gt;Futura*",Auditoria_ECG0!$F$2:$F$177,"&lt;&gt;*periodo transitorio*")&gt;0,"C",IF(COUNTIFS(Auditoria_ECG0!$B$2:$B$177,"eIDAS 2",Auditoria_ECG0!$T$2:$T$177,"G",Auditoria_ECG0!$F$2:$F$177,"&lt;&gt;Futura*",Auditoria_ECG0!$F$2:$F$177,"&lt;&gt;*periodo transitorio*")&gt;0,"G","0")))</f>
        <v>0</v>
      </c>
      <c r="J30" s="17" t="str">
        <f aca="false">IF(COUNTIFS(Auditoria_ECG0!$B$2:$B$177,"Accesibilidad",Auditoria_ECG0!$T$2:$T$177,"E",Auditoria_ECG0!$F$2:$F$177,"&lt;&gt;Futura*",Auditoria_ECG0!$F$2:$F$177,"&lt;&gt;*periodo transitorio*")&gt;0,"E",IF(COUNTIFS(Auditoria_ECG0!$B$2:$B$177,"Accesibilidad",Auditoria_ECG0!$T$2:$T$177,"C",Auditoria_ECG0!$F$2:$F$177,"&lt;&gt;Futura*",Auditoria_ECG0!$F$2:$F$177,"&lt;&gt;*periodo transitorio*")&gt;0,"C",IF(COUNTIFS(Auditoria_ECG0!$B$2:$B$177,"Accesibilidad",Auditoria_ECG0!$T$2:$T$177,"G",Auditoria_ECG0!$F$2:$F$177,"&lt;&gt;Futura*",Auditoria_ECG0!$F$2:$F$177,"&lt;&gt;*periodo transitorio*")&gt;0,"G","0")))</f>
        <v>0</v>
      </c>
      <c r="K30" s="17" t="str">
        <f aca="false">IF(COUNTIFS(Auditoria_ECG0!$B$2:$B$177,"Atención al cliente ES",Auditoria_ECG0!$T$2:$T$177,"E",Auditoria_ECG0!$F$2:$F$177,"&lt;&gt;Futura*",Auditoria_ECG0!$F$2:$F$177,"&lt;&gt;*periodo transitorio*")&gt;0,"E",IF(COUNTIFS(Auditoria_ECG0!$B$2:$B$177,"Atención al cliente ES",Auditoria_ECG0!$T$2:$T$177,"C",Auditoria_ECG0!$F$2:$F$177,"&lt;&gt;Futura*",Auditoria_ECG0!$F$2:$F$177,"&lt;&gt;*periodo transitorio*")&gt;0,"C",IF(COUNTIFS(Auditoria_ECG0!$B$2:$B$177,"Atención al cliente ES",Auditoria_ECG0!$T$2:$T$177,"G",Auditoria_ECG0!$F$2:$F$177,"&lt;&gt;Futura*",Auditoria_ECG0!$F$2:$F$177,"&lt;&gt;*periodo transitorio*")&gt;0,"G","0")))</f>
        <v>0</v>
      </c>
    </row>
    <row r="31" customFormat="false" ht="15" hidden="false" customHeight="true" outlineLevel="0" collapsed="false">
      <c r="A31" s="8" t="s">
        <v>150</v>
      </c>
      <c r="B31" s="10" t="s">
        <v>151</v>
      </c>
      <c r="C31" s="17" t="str">
        <f aca="false">IF(COUNTIFS(Auditoria_ECG0!$B$2:$B$177,"Cuenta básica",Auditoria_ECG0!$U$2:$U$177,"E",Auditoria_ECG0!$F$2:$F$177,"&lt;&gt;Futura*",Auditoria_ECG0!$F$2:$F$177,"&lt;&gt;*periodo transitorio*")&gt;0,"E",IF(COUNTIFS(Auditoria_ECG0!$B$2:$B$177,"Cuenta básica",Auditoria_ECG0!$U$2:$U$177,"C",Auditoria_ECG0!$F$2:$F$177,"&lt;&gt;Futura*",Auditoria_ECG0!$F$2:$F$177,"&lt;&gt;*periodo transitorio*")&gt;0,"C",IF(COUNTIFS(Auditoria_ECG0!$B$2:$B$177,"Cuenta básica",Auditoria_ECG0!$U$2:$U$177,"G",Auditoria_ECG0!$F$2:$F$177,"&lt;&gt;Futura*",Auditoria_ECG0!$F$2:$F$177,"&lt;&gt;*periodo transitorio*")&gt;0,"G","0")))</f>
        <v>0</v>
      </c>
      <c r="D31" s="17" t="str">
        <f aca="false">IF(COUNTIFS(Auditoria_ECG0!$B$2:$B$177,"AML",Auditoria_ECG0!$U$2:$U$177,"E",Auditoria_ECG0!$F$2:$F$177,"&lt;&gt;Futura*",Auditoria_ECG0!$F$2:$F$177,"&lt;&gt;*periodo transitorio*")&gt;0,"E",IF(COUNTIFS(Auditoria_ECG0!$B$2:$B$177,"AML",Auditoria_ECG0!$U$2:$U$177,"C",Auditoria_ECG0!$F$2:$F$177,"&lt;&gt;Futura*",Auditoria_ECG0!$F$2:$F$177,"&lt;&gt;*periodo transitorio*")&gt;0,"C",IF(COUNTIFS(Auditoria_ECG0!$B$2:$B$177,"AML",Auditoria_ECG0!$U$2:$U$177,"G",Auditoria_ECG0!$F$2:$F$177,"&lt;&gt;Futura*",Auditoria_ECG0!$F$2:$F$177,"&lt;&gt;*periodo transitorio*")&gt;0,"G","0")))</f>
        <v>C</v>
      </c>
      <c r="E31" s="17" t="str">
        <f aca="false">IF(COUNTIFS(Auditoria_ECG0!$B$2:$B$177,"Directrices EBA",Auditoria_ECG0!$U$2:$U$177,"E",Auditoria_ECG0!$F$2:$F$177,"&lt;&gt;Futura*",Auditoria_ECG0!$F$2:$F$177,"&lt;&gt;*periodo transitorio*")&gt;0,"E",IF(COUNTIFS(Auditoria_ECG0!$B$2:$B$177,"Directrices EBA",Auditoria_ECG0!$U$2:$U$177,"C",Auditoria_ECG0!$F$2:$F$177,"&lt;&gt;Futura*",Auditoria_ECG0!$F$2:$F$177,"&lt;&gt;*periodo transitorio*")&gt;0,"C",IF(COUNTIFS(Auditoria_ECG0!$B$2:$B$177,"Directrices EBA",Auditoria_ECG0!$U$2:$U$177,"G",Auditoria_ECG0!$F$2:$F$177,"&lt;&gt;Futura*",Auditoria_ECG0!$F$2:$F$177,"&lt;&gt;*periodo transitorio*")&gt;0,"G","0")))</f>
        <v>C</v>
      </c>
      <c r="F31" s="17" t="str">
        <f aca="false">IF(COUNTIFS(Auditoria_ECG0!$B$2:$B$177,"RGPD",Auditoria_ECG0!$U$2:$U$177,"E",Auditoria_ECG0!$F$2:$F$177,"&lt;&gt;Futura*",Auditoria_ECG0!$F$2:$F$177,"&lt;&gt;*periodo transitorio*")&gt;0,"E",IF(COUNTIFS(Auditoria_ECG0!$B$2:$B$177,"RGPD",Auditoria_ECG0!$U$2:$U$177,"C",Auditoria_ECG0!$F$2:$F$177,"&lt;&gt;Futura*",Auditoria_ECG0!$F$2:$F$177,"&lt;&gt;*periodo transitorio*")&gt;0,"C",IF(COUNTIFS(Auditoria_ECG0!$B$2:$B$177,"RGPD",Auditoria_ECG0!$U$2:$U$177,"G",Auditoria_ECG0!$F$2:$F$177,"&lt;&gt;Futura*",Auditoria_ECG0!$F$2:$F$177,"&lt;&gt;*periodo transitorio*")&gt;0,"G","0")))</f>
        <v>G</v>
      </c>
      <c r="G31" s="17" t="str">
        <f aca="false">IF(COUNTIFS(Auditoria_ECG0!$B$2:$B$177,"AI Act",Auditoria_ECG0!$U$2:$U$177,"E",Auditoria_ECG0!$F$2:$F$177,"&lt;&gt;Futura*",Auditoria_ECG0!$F$2:$F$177,"&lt;&gt;*periodo transitorio*")&gt;0,"E",IF(COUNTIFS(Auditoria_ECG0!$B$2:$B$177,"AI Act",Auditoria_ECG0!$U$2:$U$177,"C",Auditoria_ECG0!$F$2:$F$177,"&lt;&gt;Futura*",Auditoria_ECG0!$F$2:$F$177,"&lt;&gt;*periodo transitorio*")&gt;0,"C",IF(COUNTIFS(Auditoria_ECG0!$B$2:$B$177,"AI Act",Auditoria_ECG0!$U$2:$U$177,"G",Auditoria_ECG0!$F$2:$F$177,"&lt;&gt;Futura*",Auditoria_ECG0!$F$2:$F$177,"&lt;&gt;*periodo transitorio*")&gt;0,"G","0")))</f>
        <v>0</v>
      </c>
      <c r="H31" s="17" t="str">
        <f aca="false">IF(COUNTIFS(Auditoria_ECG0!$B$2:$B$177,"DORA",Auditoria_ECG0!$U$2:$U$177,"E",Auditoria_ECG0!$F$2:$F$177,"&lt;&gt;Futura*",Auditoria_ECG0!$F$2:$F$177,"&lt;&gt;*periodo transitorio*")&gt;0,"E",IF(COUNTIFS(Auditoria_ECG0!$B$2:$B$177,"DORA",Auditoria_ECG0!$U$2:$U$177,"C",Auditoria_ECG0!$F$2:$F$177,"&lt;&gt;Futura*",Auditoria_ECG0!$F$2:$F$177,"&lt;&gt;*periodo transitorio*")&gt;0,"C",IF(COUNTIFS(Auditoria_ECG0!$B$2:$B$177,"DORA",Auditoria_ECG0!$U$2:$U$177,"G",Auditoria_ECG0!$F$2:$F$177,"&lt;&gt;Futura*",Auditoria_ECG0!$F$2:$F$177,"&lt;&gt;*periodo transitorio*")&gt;0,"G","0")))</f>
        <v>0</v>
      </c>
      <c r="I31" s="17" t="str">
        <f aca="false">IF(COUNTIFS(Auditoria_ECG0!$B$2:$B$177,"eIDAS 2",Auditoria_ECG0!$U$2:$U$177,"E",Auditoria_ECG0!$F$2:$F$177,"&lt;&gt;Futura*",Auditoria_ECG0!$F$2:$F$177,"&lt;&gt;*periodo transitorio*")&gt;0,"E",IF(COUNTIFS(Auditoria_ECG0!$B$2:$B$177,"eIDAS 2",Auditoria_ECG0!$U$2:$U$177,"C",Auditoria_ECG0!$F$2:$F$177,"&lt;&gt;Futura*",Auditoria_ECG0!$F$2:$F$177,"&lt;&gt;*periodo transitorio*")&gt;0,"C",IF(COUNTIFS(Auditoria_ECG0!$B$2:$B$177,"eIDAS 2",Auditoria_ECG0!$U$2:$U$177,"G",Auditoria_ECG0!$F$2:$F$177,"&lt;&gt;Futura*",Auditoria_ECG0!$F$2:$F$177,"&lt;&gt;*periodo transitorio*")&gt;0,"G","0")))</f>
        <v>0</v>
      </c>
      <c r="J31" s="17" t="str">
        <f aca="false">IF(COUNTIFS(Auditoria_ECG0!$B$2:$B$177,"Accesibilidad",Auditoria_ECG0!$U$2:$U$177,"E",Auditoria_ECG0!$F$2:$F$177,"&lt;&gt;Futura*",Auditoria_ECG0!$F$2:$F$177,"&lt;&gt;*periodo transitorio*")&gt;0,"E",IF(COUNTIFS(Auditoria_ECG0!$B$2:$B$177,"Accesibilidad",Auditoria_ECG0!$U$2:$U$177,"C",Auditoria_ECG0!$F$2:$F$177,"&lt;&gt;Futura*",Auditoria_ECG0!$F$2:$F$177,"&lt;&gt;*periodo transitorio*")&gt;0,"C",IF(COUNTIFS(Auditoria_ECG0!$B$2:$B$177,"Accesibilidad",Auditoria_ECG0!$U$2:$U$177,"G",Auditoria_ECG0!$F$2:$F$177,"&lt;&gt;Futura*",Auditoria_ECG0!$F$2:$F$177,"&lt;&gt;*periodo transitorio*")&gt;0,"G","0")))</f>
        <v>0</v>
      </c>
      <c r="K31" s="17" t="str">
        <f aca="false">IF(COUNTIFS(Auditoria_ECG0!$B$2:$B$177,"Atención al cliente ES",Auditoria_ECG0!$U$2:$U$177,"E",Auditoria_ECG0!$F$2:$F$177,"&lt;&gt;Futura*",Auditoria_ECG0!$F$2:$F$177,"&lt;&gt;*periodo transitorio*")&gt;0,"E",IF(COUNTIFS(Auditoria_ECG0!$B$2:$B$177,"Atención al cliente ES",Auditoria_ECG0!$U$2:$U$177,"C",Auditoria_ECG0!$F$2:$F$177,"&lt;&gt;Futura*",Auditoria_ECG0!$F$2:$F$177,"&lt;&gt;*periodo transitorio*")&gt;0,"C",IF(COUNTIFS(Auditoria_ECG0!$B$2:$B$177,"Atención al cliente ES",Auditoria_ECG0!$U$2:$U$177,"G",Auditoria_ECG0!$F$2:$F$177,"&lt;&gt;Futura*",Auditoria_ECG0!$F$2:$F$177,"&lt;&gt;*periodo transitorio*")&gt;0,"G","0")))</f>
        <v>0</v>
      </c>
    </row>
    <row r="32" customFormat="false" ht="15" hidden="false" customHeight="true" outlineLevel="0" collapsed="false">
      <c r="A32" s="8" t="s">
        <v>152</v>
      </c>
      <c r="B32" s="10" t="s">
        <v>153</v>
      </c>
      <c r="C32" s="17" t="str">
        <f aca="false">IF(COUNTIFS(Auditoria_ECG0!$B$2:$B$177,"Cuenta básica",Auditoria_ECG0!$V$2:$V$177,"E",Auditoria_ECG0!$F$2:$F$177,"&lt;&gt;Futura*",Auditoria_ECG0!$F$2:$F$177,"&lt;&gt;*periodo transitorio*")&gt;0,"E",IF(COUNTIFS(Auditoria_ECG0!$B$2:$B$177,"Cuenta básica",Auditoria_ECG0!$V$2:$V$177,"C",Auditoria_ECG0!$F$2:$F$177,"&lt;&gt;Futura*",Auditoria_ECG0!$F$2:$F$177,"&lt;&gt;*periodo transitorio*")&gt;0,"C",IF(COUNTIFS(Auditoria_ECG0!$B$2:$B$177,"Cuenta básica",Auditoria_ECG0!$V$2:$V$177,"G",Auditoria_ECG0!$F$2:$F$177,"&lt;&gt;Futura*",Auditoria_ECG0!$F$2:$F$177,"&lt;&gt;*periodo transitorio*")&gt;0,"G","0")))</f>
        <v>0</v>
      </c>
      <c r="D32" s="17" t="str">
        <f aca="false">IF(COUNTIFS(Auditoria_ECG0!$B$2:$B$177,"AML",Auditoria_ECG0!$V$2:$V$177,"E",Auditoria_ECG0!$F$2:$F$177,"&lt;&gt;Futura*",Auditoria_ECG0!$F$2:$F$177,"&lt;&gt;*periodo transitorio*")&gt;0,"E",IF(COUNTIFS(Auditoria_ECG0!$B$2:$B$177,"AML",Auditoria_ECG0!$V$2:$V$177,"C",Auditoria_ECG0!$F$2:$F$177,"&lt;&gt;Futura*",Auditoria_ECG0!$F$2:$F$177,"&lt;&gt;*periodo transitorio*")&gt;0,"C",IF(COUNTIFS(Auditoria_ECG0!$B$2:$B$177,"AML",Auditoria_ECG0!$V$2:$V$177,"G",Auditoria_ECG0!$F$2:$F$177,"&lt;&gt;Futura*",Auditoria_ECG0!$F$2:$F$177,"&lt;&gt;*periodo transitorio*")&gt;0,"G","0")))</f>
        <v>0</v>
      </c>
      <c r="E32" s="17" t="str">
        <f aca="false">IF(COUNTIFS(Auditoria_ECG0!$B$2:$B$177,"Directrices EBA",Auditoria_ECG0!$V$2:$V$177,"E",Auditoria_ECG0!$F$2:$F$177,"&lt;&gt;Futura*",Auditoria_ECG0!$F$2:$F$177,"&lt;&gt;*periodo transitorio*")&gt;0,"E",IF(COUNTIFS(Auditoria_ECG0!$B$2:$B$177,"Directrices EBA",Auditoria_ECG0!$V$2:$V$177,"C",Auditoria_ECG0!$F$2:$F$177,"&lt;&gt;Futura*",Auditoria_ECG0!$F$2:$F$177,"&lt;&gt;*periodo transitorio*")&gt;0,"C",IF(COUNTIFS(Auditoria_ECG0!$B$2:$B$177,"Directrices EBA",Auditoria_ECG0!$V$2:$V$177,"G",Auditoria_ECG0!$F$2:$F$177,"&lt;&gt;Futura*",Auditoria_ECG0!$F$2:$F$177,"&lt;&gt;*periodo transitorio*")&gt;0,"G","0")))</f>
        <v>0</v>
      </c>
      <c r="F32" s="17" t="str">
        <f aca="false">IF(COUNTIFS(Auditoria_ECG0!$B$2:$B$177,"RGPD",Auditoria_ECG0!$V$2:$V$177,"E",Auditoria_ECG0!$F$2:$F$177,"&lt;&gt;Futura*",Auditoria_ECG0!$F$2:$F$177,"&lt;&gt;*periodo transitorio*")&gt;0,"E",IF(COUNTIFS(Auditoria_ECG0!$B$2:$B$177,"RGPD",Auditoria_ECG0!$V$2:$V$177,"C",Auditoria_ECG0!$F$2:$F$177,"&lt;&gt;Futura*",Auditoria_ECG0!$F$2:$F$177,"&lt;&gt;*periodo transitorio*")&gt;0,"C",IF(COUNTIFS(Auditoria_ECG0!$B$2:$B$177,"RGPD",Auditoria_ECG0!$V$2:$V$177,"G",Auditoria_ECG0!$F$2:$F$177,"&lt;&gt;Futura*",Auditoria_ECG0!$F$2:$F$177,"&lt;&gt;*periodo transitorio*")&gt;0,"G","0")))</f>
        <v>0</v>
      </c>
      <c r="G32" s="17" t="str">
        <f aca="false">IF(COUNTIFS(Auditoria_ECG0!$B$2:$B$177,"AI Act",Auditoria_ECG0!$V$2:$V$177,"E",Auditoria_ECG0!$F$2:$F$177,"&lt;&gt;Futura*",Auditoria_ECG0!$F$2:$F$177,"&lt;&gt;*periodo transitorio*")&gt;0,"E",IF(COUNTIFS(Auditoria_ECG0!$B$2:$B$177,"AI Act",Auditoria_ECG0!$V$2:$V$177,"C",Auditoria_ECG0!$F$2:$F$177,"&lt;&gt;Futura*",Auditoria_ECG0!$F$2:$F$177,"&lt;&gt;*periodo transitorio*")&gt;0,"C",IF(COUNTIFS(Auditoria_ECG0!$B$2:$B$177,"AI Act",Auditoria_ECG0!$V$2:$V$177,"G",Auditoria_ECG0!$F$2:$F$177,"&lt;&gt;Futura*",Auditoria_ECG0!$F$2:$F$177,"&lt;&gt;*periodo transitorio*")&gt;0,"G","0")))</f>
        <v>0</v>
      </c>
      <c r="H32" s="17" t="str">
        <f aca="false">IF(COUNTIFS(Auditoria_ECG0!$B$2:$B$177,"DORA",Auditoria_ECG0!$V$2:$V$177,"E",Auditoria_ECG0!$F$2:$F$177,"&lt;&gt;Futura*",Auditoria_ECG0!$F$2:$F$177,"&lt;&gt;*periodo transitorio*")&gt;0,"E",IF(COUNTIFS(Auditoria_ECG0!$B$2:$B$177,"DORA",Auditoria_ECG0!$V$2:$V$177,"C",Auditoria_ECG0!$F$2:$F$177,"&lt;&gt;Futura*",Auditoria_ECG0!$F$2:$F$177,"&lt;&gt;*periodo transitorio*")&gt;0,"C",IF(COUNTIFS(Auditoria_ECG0!$B$2:$B$177,"DORA",Auditoria_ECG0!$V$2:$V$177,"G",Auditoria_ECG0!$F$2:$F$177,"&lt;&gt;Futura*",Auditoria_ECG0!$F$2:$F$177,"&lt;&gt;*periodo transitorio*")&gt;0,"G","0")))</f>
        <v>0</v>
      </c>
      <c r="I32" s="17" t="str">
        <f aca="false">IF(COUNTIFS(Auditoria_ECG0!$B$2:$B$177,"eIDAS 2",Auditoria_ECG0!$V$2:$V$177,"E",Auditoria_ECG0!$F$2:$F$177,"&lt;&gt;Futura*",Auditoria_ECG0!$F$2:$F$177,"&lt;&gt;*periodo transitorio*")&gt;0,"E",IF(COUNTIFS(Auditoria_ECG0!$B$2:$B$177,"eIDAS 2",Auditoria_ECG0!$V$2:$V$177,"C",Auditoria_ECG0!$F$2:$F$177,"&lt;&gt;Futura*",Auditoria_ECG0!$F$2:$F$177,"&lt;&gt;*periodo transitorio*")&gt;0,"C",IF(COUNTIFS(Auditoria_ECG0!$B$2:$B$177,"eIDAS 2",Auditoria_ECG0!$V$2:$V$177,"G",Auditoria_ECG0!$F$2:$F$177,"&lt;&gt;Futura*",Auditoria_ECG0!$F$2:$F$177,"&lt;&gt;*periodo transitorio*")&gt;0,"G","0")))</f>
        <v>0</v>
      </c>
      <c r="J32" s="17" t="str">
        <f aca="false">IF(COUNTIFS(Auditoria_ECG0!$B$2:$B$177,"Accesibilidad",Auditoria_ECG0!$V$2:$V$177,"E",Auditoria_ECG0!$F$2:$F$177,"&lt;&gt;Futura*",Auditoria_ECG0!$F$2:$F$177,"&lt;&gt;*periodo transitorio*")&gt;0,"E",IF(COUNTIFS(Auditoria_ECG0!$B$2:$B$177,"Accesibilidad",Auditoria_ECG0!$V$2:$V$177,"C",Auditoria_ECG0!$F$2:$F$177,"&lt;&gt;Futura*",Auditoria_ECG0!$F$2:$F$177,"&lt;&gt;*periodo transitorio*")&gt;0,"C",IF(COUNTIFS(Auditoria_ECG0!$B$2:$B$177,"Accesibilidad",Auditoria_ECG0!$V$2:$V$177,"G",Auditoria_ECG0!$F$2:$F$177,"&lt;&gt;Futura*",Auditoria_ECG0!$F$2:$F$177,"&lt;&gt;*periodo transitorio*")&gt;0,"G","0")))</f>
        <v>0</v>
      </c>
      <c r="K32" s="17" t="str">
        <f aca="false">IF(COUNTIFS(Auditoria_ECG0!$B$2:$B$177,"Atención al cliente ES",Auditoria_ECG0!$V$2:$V$177,"E",Auditoria_ECG0!$F$2:$F$177,"&lt;&gt;Futura*",Auditoria_ECG0!$F$2:$F$177,"&lt;&gt;*periodo transitorio*")&gt;0,"E",IF(COUNTIFS(Auditoria_ECG0!$B$2:$B$177,"Atención al cliente ES",Auditoria_ECG0!$V$2:$V$177,"C",Auditoria_ECG0!$F$2:$F$177,"&lt;&gt;Futura*",Auditoria_ECG0!$F$2:$F$177,"&lt;&gt;*periodo transitorio*")&gt;0,"C",IF(COUNTIFS(Auditoria_ECG0!$B$2:$B$177,"Atención al cliente ES",Auditoria_ECG0!$V$2:$V$177,"G",Auditoria_ECG0!$F$2:$F$177,"&lt;&gt;Futura*",Auditoria_ECG0!$F$2:$F$177,"&lt;&gt;*periodo transitorio*")&gt;0,"G","0")))</f>
        <v>0</v>
      </c>
    </row>
    <row r="33" customFormat="false" ht="15" hidden="false" customHeight="true" outlineLevel="0" collapsed="false">
      <c r="A33" s="8" t="s">
        <v>154</v>
      </c>
      <c r="B33" s="10" t="s">
        <v>155</v>
      </c>
      <c r="C33" s="17" t="str">
        <f aca="false">IF(COUNTIFS(Auditoria_ECG0!$B$2:$B$177,"Cuenta básica",Auditoria_ECG0!$W$2:$W$177,"E",Auditoria_ECG0!$F$2:$F$177,"&lt;&gt;Futura*",Auditoria_ECG0!$F$2:$F$177,"&lt;&gt;*periodo transitorio*")&gt;0,"E",IF(COUNTIFS(Auditoria_ECG0!$B$2:$B$177,"Cuenta básica",Auditoria_ECG0!$W$2:$W$177,"C",Auditoria_ECG0!$F$2:$F$177,"&lt;&gt;Futura*",Auditoria_ECG0!$F$2:$F$177,"&lt;&gt;*periodo transitorio*")&gt;0,"C",IF(COUNTIFS(Auditoria_ECG0!$B$2:$B$177,"Cuenta básica",Auditoria_ECG0!$W$2:$W$177,"G",Auditoria_ECG0!$F$2:$F$177,"&lt;&gt;Futura*",Auditoria_ECG0!$F$2:$F$177,"&lt;&gt;*periodo transitorio*")&gt;0,"G","0")))</f>
        <v>C</v>
      </c>
      <c r="D33" s="17" t="str">
        <f aca="false">IF(COUNTIFS(Auditoria_ECG0!$B$2:$B$177,"AML",Auditoria_ECG0!$W$2:$W$177,"E",Auditoria_ECG0!$F$2:$F$177,"&lt;&gt;Futura*",Auditoria_ECG0!$F$2:$F$177,"&lt;&gt;*periodo transitorio*")&gt;0,"E",IF(COUNTIFS(Auditoria_ECG0!$B$2:$B$177,"AML",Auditoria_ECG0!$W$2:$W$177,"C",Auditoria_ECG0!$F$2:$F$177,"&lt;&gt;Futura*",Auditoria_ECG0!$F$2:$F$177,"&lt;&gt;*periodo transitorio*")&gt;0,"C",IF(COUNTIFS(Auditoria_ECG0!$B$2:$B$177,"AML",Auditoria_ECG0!$W$2:$W$177,"G",Auditoria_ECG0!$F$2:$F$177,"&lt;&gt;Futura*",Auditoria_ECG0!$F$2:$F$177,"&lt;&gt;*periodo transitorio*")&gt;0,"G","0")))</f>
        <v>C</v>
      </c>
      <c r="E33" s="17" t="str">
        <f aca="false">IF(COUNTIFS(Auditoria_ECG0!$B$2:$B$177,"Directrices EBA",Auditoria_ECG0!$W$2:$W$177,"E",Auditoria_ECG0!$F$2:$F$177,"&lt;&gt;Futura*",Auditoria_ECG0!$F$2:$F$177,"&lt;&gt;*periodo transitorio*")&gt;0,"E",IF(COUNTIFS(Auditoria_ECG0!$B$2:$B$177,"Directrices EBA",Auditoria_ECG0!$W$2:$W$177,"C",Auditoria_ECG0!$F$2:$F$177,"&lt;&gt;Futura*",Auditoria_ECG0!$F$2:$F$177,"&lt;&gt;*periodo transitorio*")&gt;0,"C",IF(COUNTIFS(Auditoria_ECG0!$B$2:$B$177,"Directrices EBA",Auditoria_ECG0!$W$2:$W$177,"G",Auditoria_ECG0!$F$2:$F$177,"&lt;&gt;Futura*",Auditoria_ECG0!$F$2:$F$177,"&lt;&gt;*periodo transitorio*")&gt;0,"G","0")))</f>
        <v>0</v>
      </c>
      <c r="F33" s="17" t="str">
        <f aca="false">IF(COUNTIFS(Auditoria_ECG0!$B$2:$B$177,"RGPD",Auditoria_ECG0!$W$2:$W$177,"E",Auditoria_ECG0!$F$2:$F$177,"&lt;&gt;Futura*",Auditoria_ECG0!$F$2:$F$177,"&lt;&gt;*periodo transitorio*")&gt;0,"E",IF(COUNTIFS(Auditoria_ECG0!$B$2:$B$177,"RGPD",Auditoria_ECG0!$W$2:$W$177,"C",Auditoria_ECG0!$F$2:$F$177,"&lt;&gt;Futura*",Auditoria_ECG0!$F$2:$F$177,"&lt;&gt;*periodo transitorio*")&gt;0,"C",IF(COUNTIFS(Auditoria_ECG0!$B$2:$B$177,"RGPD",Auditoria_ECG0!$W$2:$W$177,"G",Auditoria_ECG0!$F$2:$F$177,"&lt;&gt;Futura*",Auditoria_ECG0!$F$2:$F$177,"&lt;&gt;*periodo transitorio*")&gt;0,"G","0")))</f>
        <v>0</v>
      </c>
      <c r="G33" s="17" t="str">
        <f aca="false">IF(COUNTIFS(Auditoria_ECG0!$B$2:$B$177,"AI Act",Auditoria_ECG0!$W$2:$W$177,"E",Auditoria_ECG0!$F$2:$F$177,"&lt;&gt;Futura*",Auditoria_ECG0!$F$2:$F$177,"&lt;&gt;*periodo transitorio*")&gt;0,"E",IF(COUNTIFS(Auditoria_ECG0!$B$2:$B$177,"AI Act",Auditoria_ECG0!$W$2:$W$177,"C",Auditoria_ECG0!$F$2:$F$177,"&lt;&gt;Futura*",Auditoria_ECG0!$F$2:$F$177,"&lt;&gt;*periodo transitorio*")&gt;0,"C",IF(COUNTIFS(Auditoria_ECG0!$B$2:$B$177,"AI Act",Auditoria_ECG0!$W$2:$W$177,"G",Auditoria_ECG0!$F$2:$F$177,"&lt;&gt;Futura*",Auditoria_ECG0!$F$2:$F$177,"&lt;&gt;*periodo transitorio*")&gt;0,"G","0")))</f>
        <v>0</v>
      </c>
      <c r="H33" s="17" t="str">
        <f aca="false">IF(COUNTIFS(Auditoria_ECG0!$B$2:$B$177,"DORA",Auditoria_ECG0!$W$2:$W$177,"E",Auditoria_ECG0!$F$2:$F$177,"&lt;&gt;Futura*",Auditoria_ECG0!$F$2:$F$177,"&lt;&gt;*periodo transitorio*")&gt;0,"E",IF(COUNTIFS(Auditoria_ECG0!$B$2:$B$177,"DORA",Auditoria_ECG0!$W$2:$W$177,"C",Auditoria_ECG0!$F$2:$F$177,"&lt;&gt;Futura*",Auditoria_ECG0!$F$2:$F$177,"&lt;&gt;*periodo transitorio*")&gt;0,"C",IF(COUNTIFS(Auditoria_ECG0!$B$2:$B$177,"DORA",Auditoria_ECG0!$W$2:$W$177,"G",Auditoria_ECG0!$F$2:$F$177,"&lt;&gt;Futura*",Auditoria_ECG0!$F$2:$F$177,"&lt;&gt;*periodo transitorio*")&gt;0,"G","0")))</f>
        <v>0</v>
      </c>
      <c r="I33" s="17" t="str">
        <f aca="false">IF(COUNTIFS(Auditoria_ECG0!$B$2:$B$177,"eIDAS 2",Auditoria_ECG0!$W$2:$W$177,"E",Auditoria_ECG0!$F$2:$F$177,"&lt;&gt;Futura*",Auditoria_ECG0!$F$2:$F$177,"&lt;&gt;*periodo transitorio*")&gt;0,"E",IF(COUNTIFS(Auditoria_ECG0!$B$2:$B$177,"eIDAS 2",Auditoria_ECG0!$W$2:$W$177,"C",Auditoria_ECG0!$F$2:$F$177,"&lt;&gt;Futura*",Auditoria_ECG0!$F$2:$F$177,"&lt;&gt;*periodo transitorio*")&gt;0,"C",IF(COUNTIFS(Auditoria_ECG0!$B$2:$B$177,"eIDAS 2",Auditoria_ECG0!$W$2:$W$177,"G",Auditoria_ECG0!$F$2:$F$177,"&lt;&gt;Futura*",Auditoria_ECG0!$F$2:$F$177,"&lt;&gt;*periodo transitorio*")&gt;0,"G","0")))</f>
        <v>0</v>
      </c>
      <c r="J33" s="17" t="str">
        <f aca="false">IF(COUNTIFS(Auditoria_ECG0!$B$2:$B$177,"Accesibilidad",Auditoria_ECG0!$W$2:$W$177,"E",Auditoria_ECG0!$F$2:$F$177,"&lt;&gt;Futura*",Auditoria_ECG0!$F$2:$F$177,"&lt;&gt;*periodo transitorio*")&gt;0,"E",IF(COUNTIFS(Auditoria_ECG0!$B$2:$B$177,"Accesibilidad",Auditoria_ECG0!$W$2:$W$177,"C",Auditoria_ECG0!$F$2:$F$177,"&lt;&gt;Futura*",Auditoria_ECG0!$F$2:$F$177,"&lt;&gt;*periodo transitorio*")&gt;0,"C",IF(COUNTIFS(Auditoria_ECG0!$B$2:$B$177,"Accesibilidad",Auditoria_ECG0!$W$2:$W$177,"G",Auditoria_ECG0!$F$2:$F$177,"&lt;&gt;Futura*",Auditoria_ECG0!$F$2:$F$177,"&lt;&gt;*periodo transitorio*")&gt;0,"G","0")))</f>
        <v>0</v>
      </c>
      <c r="K33" s="17" t="str">
        <f aca="false">IF(COUNTIFS(Auditoria_ECG0!$B$2:$B$177,"Atención al cliente ES",Auditoria_ECG0!$W$2:$W$177,"E",Auditoria_ECG0!$F$2:$F$177,"&lt;&gt;Futura*",Auditoria_ECG0!$F$2:$F$177,"&lt;&gt;*periodo transitorio*")&gt;0,"E",IF(COUNTIFS(Auditoria_ECG0!$B$2:$B$177,"Atención al cliente ES",Auditoria_ECG0!$W$2:$W$177,"C",Auditoria_ECG0!$F$2:$F$177,"&lt;&gt;Futura*",Auditoria_ECG0!$F$2:$F$177,"&lt;&gt;*periodo transitorio*")&gt;0,"C",IF(COUNTIFS(Auditoria_ECG0!$B$2:$B$177,"Atención al cliente ES",Auditoria_ECG0!$W$2:$W$177,"G",Auditoria_ECG0!$F$2:$F$177,"&lt;&gt;Futura*",Auditoria_ECG0!$F$2:$F$177,"&lt;&gt;*periodo transitorio*")&gt;0,"G","0")))</f>
        <v>0</v>
      </c>
    </row>
    <row r="34" customFormat="false" ht="15" hidden="false" customHeight="true" outlineLevel="0" collapsed="false">
      <c r="A34" s="8" t="s">
        <v>156</v>
      </c>
      <c r="B34" s="10" t="s">
        <v>157</v>
      </c>
      <c r="C34" s="17" t="str">
        <f aca="false">IF(COUNTIFS(Auditoria_ECG0!$B$2:$B$177,"Cuenta básica",Auditoria_ECG0!$X$2:$X$177,"E",Auditoria_ECG0!$F$2:$F$177,"&lt;&gt;Futura*",Auditoria_ECG0!$F$2:$F$177,"&lt;&gt;*periodo transitorio*")&gt;0,"E",IF(COUNTIFS(Auditoria_ECG0!$B$2:$B$177,"Cuenta básica",Auditoria_ECG0!$X$2:$X$177,"C",Auditoria_ECG0!$F$2:$F$177,"&lt;&gt;Futura*",Auditoria_ECG0!$F$2:$F$177,"&lt;&gt;*periodo transitorio*")&gt;0,"C",IF(COUNTIFS(Auditoria_ECG0!$B$2:$B$177,"Cuenta básica",Auditoria_ECG0!$X$2:$X$177,"G",Auditoria_ECG0!$F$2:$F$177,"&lt;&gt;Futura*",Auditoria_ECG0!$F$2:$F$177,"&lt;&gt;*periodo transitorio*")&gt;0,"G","0")))</f>
        <v>E</v>
      </c>
      <c r="D34" s="17" t="str">
        <f aca="false">IF(COUNTIFS(Auditoria_ECG0!$B$2:$B$177,"AML",Auditoria_ECG0!$X$2:$X$177,"E",Auditoria_ECG0!$F$2:$F$177,"&lt;&gt;Futura*",Auditoria_ECG0!$F$2:$F$177,"&lt;&gt;*periodo transitorio*")&gt;0,"E",IF(COUNTIFS(Auditoria_ECG0!$B$2:$B$177,"AML",Auditoria_ECG0!$X$2:$X$177,"C",Auditoria_ECG0!$F$2:$F$177,"&lt;&gt;Futura*",Auditoria_ECG0!$F$2:$F$177,"&lt;&gt;*periodo transitorio*")&gt;0,"C",IF(COUNTIFS(Auditoria_ECG0!$B$2:$B$177,"AML",Auditoria_ECG0!$X$2:$X$177,"G",Auditoria_ECG0!$F$2:$F$177,"&lt;&gt;Futura*",Auditoria_ECG0!$F$2:$F$177,"&lt;&gt;*periodo transitorio*")&gt;0,"G","0")))</f>
        <v>C</v>
      </c>
      <c r="E34" s="17" t="str">
        <f aca="false">IF(COUNTIFS(Auditoria_ECG0!$B$2:$B$177,"Directrices EBA",Auditoria_ECG0!$X$2:$X$177,"E",Auditoria_ECG0!$F$2:$F$177,"&lt;&gt;Futura*",Auditoria_ECG0!$F$2:$F$177,"&lt;&gt;*periodo transitorio*")&gt;0,"E",IF(COUNTIFS(Auditoria_ECG0!$B$2:$B$177,"Directrices EBA",Auditoria_ECG0!$X$2:$X$177,"C",Auditoria_ECG0!$F$2:$F$177,"&lt;&gt;Futura*",Auditoria_ECG0!$F$2:$F$177,"&lt;&gt;*periodo transitorio*")&gt;0,"C",IF(COUNTIFS(Auditoria_ECG0!$B$2:$B$177,"Directrices EBA",Auditoria_ECG0!$X$2:$X$177,"G",Auditoria_ECG0!$F$2:$F$177,"&lt;&gt;Futura*",Auditoria_ECG0!$F$2:$F$177,"&lt;&gt;*periodo transitorio*")&gt;0,"G","0")))</f>
        <v>E</v>
      </c>
      <c r="F34" s="17" t="str">
        <f aca="false">IF(COUNTIFS(Auditoria_ECG0!$B$2:$B$177,"RGPD",Auditoria_ECG0!$X$2:$X$177,"E",Auditoria_ECG0!$F$2:$F$177,"&lt;&gt;Futura*",Auditoria_ECG0!$F$2:$F$177,"&lt;&gt;*periodo transitorio*")&gt;0,"E",IF(COUNTIFS(Auditoria_ECG0!$B$2:$B$177,"RGPD",Auditoria_ECG0!$X$2:$X$177,"C",Auditoria_ECG0!$F$2:$F$177,"&lt;&gt;Futura*",Auditoria_ECG0!$F$2:$F$177,"&lt;&gt;*periodo transitorio*")&gt;0,"C",IF(COUNTIFS(Auditoria_ECG0!$B$2:$B$177,"RGPD",Auditoria_ECG0!$X$2:$X$177,"G",Auditoria_ECG0!$F$2:$F$177,"&lt;&gt;Futura*",Auditoria_ECG0!$F$2:$F$177,"&lt;&gt;*periodo transitorio*")&gt;0,"G","0")))</f>
        <v>G</v>
      </c>
      <c r="G34" s="17" t="str">
        <f aca="false">IF(COUNTIFS(Auditoria_ECG0!$B$2:$B$177,"AI Act",Auditoria_ECG0!$X$2:$X$177,"E",Auditoria_ECG0!$F$2:$F$177,"&lt;&gt;Futura*",Auditoria_ECG0!$F$2:$F$177,"&lt;&gt;*periodo transitorio*")&gt;0,"E",IF(COUNTIFS(Auditoria_ECG0!$B$2:$B$177,"AI Act",Auditoria_ECG0!$X$2:$X$177,"C",Auditoria_ECG0!$F$2:$F$177,"&lt;&gt;Futura*",Auditoria_ECG0!$F$2:$F$177,"&lt;&gt;*periodo transitorio*")&gt;0,"C",IF(COUNTIFS(Auditoria_ECG0!$B$2:$B$177,"AI Act",Auditoria_ECG0!$X$2:$X$177,"G",Auditoria_ECG0!$F$2:$F$177,"&lt;&gt;Futura*",Auditoria_ECG0!$F$2:$F$177,"&lt;&gt;*periodo transitorio*")&gt;0,"G","0")))</f>
        <v>C</v>
      </c>
      <c r="H34" s="17" t="str">
        <f aca="false">IF(COUNTIFS(Auditoria_ECG0!$B$2:$B$177,"DORA",Auditoria_ECG0!$X$2:$X$177,"E",Auditoria_ECG0!$F$2:$F$177,"&lt;&gt;Futura*",Auditoria_ECG0!$F$2:$F$177,"&lt;&gt;*periodo transitorio*")&gt;0,"E",IF(COUNTIFS(Auditoria_ECG0!$B$2:$B$177,"DORA",Auditoria_ECG0!$X$2:$X$177,"C",Auditoria_ECG0!$F$2:$F$177,"&lt;&gt;Futura*",Auditoria_ECG0!$F$2:$F$177,"&lt;&gt;*periodo transitorio*")&gt;0,"C",IF(COUNTIFS(Auditoria_ECG0!$B$2:$B$177,"DORA",Auditoria_ECG0!$X$2:$X$177,"G",Auditoria_ECG0!$F$2:$F$177,"&lt;&gt;Futura*",Auditoria_ECG0!$F$2:$F$177,"&lt;&gt;*periodo transitorio*")&gt;0,"G","0")))</f>
        <v>0</v>
      </c>
      <c r="I34" s="17" t="str">
        <f aca="false">IF(COUNTIFS(Auditoria_ECG0!$B$2:$B$177,"eIDAS 2",Auditoria_ECG0!$X$2:$X$177,"E",Auditoria_ECG0!$F$2:$F$177,"&lt;&gt;Futura*",Auditoria_ECG0!$F$2:$F$177,"&lt;&gt;*periodo transitorio*")&gt;0,"E",IF(COUNTIFS(Auditoria_ECG0!$B$2:$B$177,"eIDAS 2",Auditoria_ECG0!$X$2:$X$177,"C",Auditoria_ECG0!$F$2:$F$177,"&lt;&gt;Futura*",Auditoria_ECG0!$F$2:$F$177,"&lt;&gt;*periodo transitorio*")&gt;0,"C",IF(COUNTIFS(Auditoria_ECG0!$B$2:$B$177,"eIDAS 2",Auditoria_ECG0!$X$2:$X$177,"G",Auditoria_ECG0!$F$2:$F$177,"&lt;&gt;Futura*",Auditoria_ECG0!$F$2:$F$177,"&lt;&gt;*periodo transitorio*")&gt;0,"G","0")))</f>
        <v>0</v>
      </c>
      <c r="J34" s="17" t="str">
        <f aca="false">IF(COUNTIFS(Auditoria_ECG0!$B$2:$B$177,"Accesibilidad",Auditoria_ECG0!$X$2:$X$177,"E",Auditoria_ECG0!$F$2:$F$177,"&lt;&gt;Futura*",Auditoria_ECG0!$F$2:$F$177,"&lt;&gt;*periodo transitorio*")&gt;0,"E",IF(COUNTIFS(Auditoria_ECG0!$B$2:$B$177,"Accesibilidad",Auditoria_ECG0!$X$2:$X$177,"C",Auditoria_ECG0!$F$2:$F$177,"&lt;&gt;Futura*",Auditoria_ECG0!$F$2:$F$177,"&lt;&gt;*periodo transitorio*")&gt;0,"C",IF(COUNTIFS(Auditoria_ECG0!$B$2:$B$177,"Accesibilidad",Auditoria_ECG0!$X$2:$X$177,"G",Auditoria_ECG0!$F$2:$F$177,"&lt;&gt;Futura*",Auditoria_ECG0!$F$2:$F$177,"&lt;&gt;*periodo transitorio*")&gt;0,"G","0")))</f>
        <v>0</v>
      </c>
      <c r="K34" s="17" t="str">
        <f aca="false">IF(COUNTIFS(Auditoria_ECG0!$B$2:$B$177,"Atención al cliente ES",Auditoria_ECG0!$X$2:$X$177,"E",Auditoria_ECG0!$F$2:$F$177,"&lt;&gt;Futura*",Auditoria_ECG0!$F$2:$F$177,"&lt;&gt;*periodo transitorio*")&gt;0,"E",IF(COUNTIFS(Auditoria_ECG0!$B$2:$B$177,"Atención al cliente ES",Auditoria_ECG0!$X$2:$X$177,"C",Auditoria_ECG0!$F$2:$F$177,"&lt;&gt;Futura*",Auditoria_ECG0!$F$2:$F$177,"&lt;&gt;*periodo transitorio*")&gt;0,"C",IF(COUNTIFS(Auditoria_ECG0!$B$2:$B$177,"Atención al cliente ES",Auditoria_ECG0!$X$2:$X$177,"G",Auditoria_ECG0!$F$2:$F$177,"&lt;&gt;Futura*",Auditoria_ECG0!$F$2:$F$177,"&lt;&gt;*periodo transitorio*")&gt;0,"G","0")))</f>
        <v>C</v>
      </c>
    </row>
    <row r="35" customFormat="false" ht="15" hidden="false" customHeight="true" outlineLevel="0" collapsed="false">
      <c r="A35" s="8" t="s">
        <v>158</v>
      </c>
      <c r="B35" s="10" t="s">
        <v>159</v>
      </c>
      <c r="C35" s="17" t="str">
        <f aca="false">IF(COUNTIFS(Auditoria_ECG0!$B$2:$B$177,"Cuenta básica",Auditoria_ECG0!$Y$2:$Y$177,"E",Auditoria_ECG0!$F$2:$F$177,"&lt;&gt;Futura*",Auditoria_ECG0!$F$2:$F$177,"&lt;&gt;*periodo transitorio*")&gt;0,"E",IF(COUNTIFS(Auditoria_ECG0!$B$2:$B$177,"Cuenta básica",Auditoria_ECG0!$Y$2:$Y$177,"C",Auditoria_ECG0!$F$2:$F$177,"&lt;&gt;Futura*",Auditoria_ECG0!$F$2:$F$177,"&lt;&gt;*periodo transitorio*")&gt;0,"C",IF(COUNTIFS(Auditoria_ECG0!$B$2:$B$177,"Cuenta básica",Auditoria_ECG0!$Y$2:$Y$177,"G",Auditoria_ECG0!$F$2:$F$177,"&lt;&gt;Futura*",Auditoria_ECG0!$F$2:$F$177,"&lt;&gt;*periodo transitorio*")&gt;0,"G","0")))</f>
        <v>E</v>
      </c>
      <c r="D35" s="17" t="str">
        <f aca="false">IF(COUNTIFS(Auditoria_ECG0!$B$2:$B$177,"AML",Auditoria_ECG0!$Y$2:$Y$177,"E",Auditoria_ECG0!$F$2:$F$177,"&lt;&gt;Futura*",Auditoria_ECG0!$F$2:$F$177,"&lt;&gt;*periodo transitorio*")&gt;0,"E",IF(COUNTIFS(Auditoria_ECG0!$B$2:$B$177,"AML",Auditoria_ECG0!$Y$2:$Y$177,"C",Auditoria_ECG0!$F$2:$F$177,"&lt;&gt;Futura*",Auditoria_ECG0!$F$2:$F$177,"&lt;&gt;*periodo transitorio*")&gt;0,"C",IF(COUNTIFS(Auditoria_ECG0!$B$2:$B$177,"AML",Auditoria_ECG0!$Y$2:$Y$177,"G",Auditoria_ECG0!$F$2:$F$177,"&lt;&gt;Futura*",Auditoria_ECG0!$F$2:$F$177,"&lt;&gt;*periodo transitorio*")&gt;0,"G","0")))</f>
        <v>C</v>
      </c>
      <c r="E35" s="17" t="str">
        <f aca="false">IF(COUNTIFS(Auditoria_ECG0!$B$2:$B$177,"Directrices EBA",Auditoria_ECG0!$Y$2:$Y$177,"E",Auditoria_ECG0!$F$2:$F$177,"&lt;&gt;Futura*",Auditoria_ECG0!$F$2:$F$177,"&lt;&gt;*periodo transitorio*")&gt;0,"E",IF(COUNTIFS(Auditoria_ECG0!$B$2:$B$177,"Directrices EBA",Auditoria_ECG0!$Y$2:$Y$177,"C",Auditoria_ECG0!$F$2:$F$177,"&lt;&gt;Futura*",Auditoria_ECG0!$F$2:$F$177,"&lt;&gt;*periodo transitorio*")&gt;0,"C",IF(COUNTIFS(Auditoria_ECG0!$B$2:$B$177,"Directrices EBA",Auditoria_ECG0!$Y$2:$Y$177,"G",Auditoria_ECG0!$F$2:$F$177,"&lt;&gt;Futura*",Auditoria_ECG0!$F$2:$F$177,"&lt;&gt;*periodo transitorio*")&gt;0,"G","0")))</f>
        <v>C</v>
      </c>
      <c r="F35" s="17" t="str">
        <f aca="false">IF(COUNTIFS(Auditoria_ECG0!$B$2:$B$177,"RGPD",Auditoria_ECG0!$Y$2:$Y$177,"E",Auditoria_ECG0!$F$2:$F$177,"&lt;&gt;Futura*",Auditoria_ECG0!$F$2:$F$177,"&lt;&gt;*periodo transitorio*")&gt;0,"E",IF(COUNTIFS(Auditoria_ECG0!$B$2:$B$177,"RGPD",Auditoria_ECG0!$Y$2:$Y$177,"C",Auditoria_ECG0!$F$2:$F$177,"&lt;&gt;Futura*",Auditoria_ECG0!$F$2:$F$177,"&lt;&gt;*periodo transitorio*")&gt;0,"C",IF(COUNTIFS(Auditoria_ECG0!$B$2:$B$177,"RGPD",Auditoria_ECG0!$Y$2:$Y$177,"G",Auditoria_ECG0!$F$2:$F$177,"&lt;&gt;Futura*",Auditoria_ECG0!$F$2:$F$177,"&lt;&gt;*periodo transitorio*")&gt;0,"G","0")))</f>
        <v>0</v>
      </c>
      <c r="G35" s="17" t="str">
        <f aca="false">IF(COUNTIFS(Auditoria_ECG0!$B$2:$B$177,"AI Act",Auditoria_ECG0!$Y$2:$Y$177,"E",Auditoria_ECG0!$F$2:$F$177,"&lt;&gt;Futura*",Auditoria_ECG0!$F$2:$F$177,"&lt;&gt;*periodo transitorio*")&gt;0,"E",IF(COUNTIFS(Auditoria_ECG0!$B$2:$B$177,"AI Act",Auditoria_ECG0!$Y$2:$Y$177,"C",Auditoria_ECG0!$F$2:$F$177,"&lt;&gt;Futura*",Auditoria_ECG0!$F$2:$F$177,"&lt;&gt;*periodo transitorio*")&gt;0,"C",IF(COUNTIFS(Auditoria_ECG0!$B$2:$B$177,"AI Act",Auditoria_ECG0!$Y$2:$Y$177,"G",Auditoria_ECG0!$F$2:$F$177,"&lt;&gt;Futura*",Auditoria_ECG0!$F$2:$F$177,"&lt;&gt;*periodo transitorio*")&gt;0,"G","0")))</f>
        <v>0</v>
      </c>
      <c r="H35" s="17" t="str">
        <f aca="false">IF(COUNTIFS(Auditoria_ECG0!$B$2:$B$177,"DORA",Auditoria_ECG0!$Y$2:$Y$177,"E",Auditoria_ECG0!$F$2:$F$177,"&lt;&gt;Futura*",Auditoria_ECG0!$F$2:$F$177,"&lt;&gt;*periodo transitorio*")&gt;0,"E",IF(COUNTIFS(Auditoria_ECG0!$B$2:$B$177,"DORA",Auditoria_ECG0!$Y$2:$Y$177,"C",Auditoria_ECG0!$F$2:$F$177,"&lt;&gt;Futura*",Auditoria_ECG0!$F$2:$F$177,"&lt;&gt;*periodo transitorio*")&gt;0,"C",IF(COUNTIFS(Auditoria_ECG0!$B$2:$B$177,"DORA",Auditoria_ECG0!$Y$2:$Y$177,"G",Auditoria_ECG0!$F$2:$F$177,"&lt;&gt;Futura*",Auditoria_ECG0!$F$2:$F$177,"&lt;&gt;*periodo transitorio*")&gt;0,"G","0")))</f>
        <v>0</v>
      </c>
      <c r="I35" s="17" t="str">
        <f aca="false">IF(COUNTIFS(Auditoria_ECG0!$B$2:$B$177,"eIDAS 2",Auditoria_ECG0!$Y$2:$Y$177,"E",Auditoria_ECG0!$F$2:$F$177,"&lt;&gt;Futura*",Auditoria_ECG0!$F$2:$F$177,"&lt;&gt;*periodo transitorio*")&gt;0,"E",IF(COUNTIFS(Auditoria_ECG0!$B$2:$B$177,"eIDAS 2",Auditoria_ECG0!$Y$2:$Y$177,"C",Auditoria_ECG0!$F$2:$F$177,"&lt;&gt;Futura*",Auditoria_ECG0!$F$2:$F$177,"&lt;&gt;*periodo transitorio*")&gt;0,"C",IF(COUNTIFS(Auditoria_ECG0!$B$2:$B$177,"eIDAS 2",Auditoria_ECG0!$Y$2:$Y$177,"G",Auditoria_ECG0!$F$2:$F$177,"&lt;&gt;Futura*",Auditoria_ECG0!$F$2:$F$177,"&lt;&gt;*periodo transitorio*")&gt;0,"G","0")))</f>
        <v>0</v>
      </c>
      <c r="J35" s="17" t="str">
        <f aca="false">IF(COUNTIFS(Auditoria_ECG0!$B$2:$B$177,"Accesibilidad",Auditoria_ECG0!$Y$2:$Y$177,"E",Auditoria_ECG0!$F$2:$F$177,"&lt;&gt;Futura*",Auditoria_ECG0!$F$2:$F$177,"&lt;&gt;*periodo transitorio*")&gt;0,"E",IF(COUNTIFS(Auditoria_ECG0!$B$2:$B$177,"Accesibilidad",Auditoria_ECG0!$Y$2:$Y$177,"C",Auditoria_ECG0!$F$2:$F$177,"&lt;&gt;Futura*",Auditoria_ECG0!$F$2:$F$177,"&lt;&gt;*periodo transitorio*")&gt;0,"C",IF(COUNTIFS(Auditoria_ECG0!$B$2:$B$177,"Accesibilidad",Auditoria_ECG0!$Y$2:$Y$177,"G",Auditoria_ECG0!$F$2:$F$177,"&lt;&gt;Futura*",Auditoria_ECG0!$F$2:$F$177,"&lt;&gt;*periodo transitorio*")&gt;0,"G","0")))</f>
        <v>0</v>
      </c>
      <c r="K35" s="17" t="str">
        <f aca="false">IF(COUNTIFS(Auditoria_ECG0!$B$2:$B$177,"Atención al cliente ES",Auditoria_ECG0!$Y$2:$Y$177,"E",Auditoria_ECG0!$F$2:$F$177,"&lt;&gt;Futura*",Auditoria_ECG0!$F$2:$F$177,"&lt;&gt;*periodo transitorio*")&gt;0,"E",IF(COUNTIFS(Auditoria_ECG0!$B$2:$B$177,"Atención al cliente ES",Auditoria_ECG0!$Y$2:$Y$177,"C",Auditoria_ECG0!$F$2:$F$177,"&lt;&gt;Futura*",Auditoria_ECG0!$F$2:$F$177,"&lt;&gt;*periodo transitorio*")&gt;0,"C",IF(COUNTIFS(Auditoria_ECG0!$B$2:$B$177,"Atención al cliente ES",Auditoria_ECG0!$Y$2:$Y$177,"G",Auditoria_ECG0!$F$2:$F$177,"&lt;&gt;Futura*",Auditoria_ECG0!$F$2:$F$177,"&lt;&gt;*periodo transitorio*")&gt;0,"G","0")))</f>
        <v>C</v>
      </c>
    </row>
    <row r="36" customFormat="false" ht="15" hidden="false" customHeight="true" outlineLevel="0" collapsed="false">
      <c r="A36" s="8" t="s">
        <v>161</v>
      </c>
      <c r="B36" s="10" t="s">
        <v>162</v>
      </c>
      <c r="C36" s="17" t="str">
        <f aca="false">IF(COUNTIFS(Auditoria_ECG0!$B$2:$B$177,"Cuenta básica",Auditoria_ECG0!$Z$2:$Z$177,"E",Auditoria_ECG0!$F$2:$F$177,"&lt;&gt;Futura*",Auditoria_ECG0!$F$2:$F$177,"&lt;&gt;*periodo transitorio*")&gt;0,"E",IF(COUNTIFS(Auditoria_ECG0!$B$2:$B$177,"Cuenta básica",Auditoria_ECG0!$Z$2:$Z$177,"C",Auditoria_ECG0!$F$2:$F$177,"&lt;&gt;Futura*",Auditoria_ECG0!$F$2:$F$177,"&lt;&gt;*periodo transitorio*")&gt;0,"C",IF(COUNTIFS(Auditoria_ECG0!$B$2:$B$177,"Cuenta básica",Auditoria_ECG0!$Z$2:$Z$177,"G",Auditoria_ECG0!$F$2:$F$177,"&lt;&gt;Futura*",Auditoria_ECG0!$F$2:$F$177,"&lt;&gt;*periodo transitorio*")&gt;0,"G","0")))</f>
        <v>C</v>
      </c>
      <c r="D36" s="17" t="str">
        <f aca="false">IF(COUNTIFS(Auditoria_ECG0!$B$2:$B$177,"AML",Auditoria_ECG0!$Z$2:$Z$177,"E",Auditoria_ECG0!$F$2:$F$177,"&lt;&gt;Futura*",Auditoria_ECG0!$F$2:$F$177,"&lt;&gt;*periodo transitorio*")&gt;0,"E",IF(COUNTIFS(Auditoria_ECG0!$B$2:$B$177,"AML",Auditoria_ECG0!$Z$2:$Z$177,"C",Auditoria_ECG0!$F$2:$F$177,"&lt;&gt;Futura*",Auditoria_ECG0!$F$2:$F$177,"&lt;&gt;*periodo transitorio*")&gt;0,"C",IF(COUNTIFS(Auditoria_ECG0!$B$2:$B$177,"AML",Auditoria_ECG0!$Z$2:$Z$177,"G",Auditoria_ECG0!$F$2:$F$177,"&lt;&gt;Futura*",Auditoria_ECG0!$F$2:$F$177,"&lt;&gt;*periodo transitorio*")&gt;0,"G","0")))</f>
        <v>G</v>
      </c>
      <c r="E36" s="17" t="str">
        <f aca="false">IF(COUNTIFS(Auditoria_ECG0!$B$2:$B$177,"Directrices EBA",Auditoria_ECG0!$Z$2:$Z$177,"E",Auditoria_ECG0!$F$2:$F$177,"&lt;&gt;Futura*",Auditoria_ECG0!$F$2:$F$177,"&lt;&gt;*periodo transitorio*")&gt;0,"E",IF(COUNTIFS(Auditoria_ECG0!$B$2:$B$177,"Directrices EBA",Auditoria_ECG0!$Z$2:$Z$177,"C",Auditoria_ECG0!$F$2:$F$177,"&lt;&gt;Futura*",Auditoria_ECG0!$F$2:$F$177,"&lt;&gt;*periodo transitorio*")&gt;0,"C",IF(COUNTIFS(Auditoria_ECG0!$B$2:$B$177,"Directrices EBA",Auditoria_ECG0!$Z$2:$Z$177,"G",Auditoria_ECG0!$F$2:$F$177,"&lt;&gt;Futura*",Auditoria_ECG0!$F$2:$F$177,"&lt;&gt;*periodo transitorio*")&gt;0,"G","0")))</f>
        <v>G</v>
      </c>
      <c r="F36" s="17" t="str">
        <f aca="false">IF(COUNTIFS(Auditoria_ECG0!$B$2:$B$177,"RGPD",Auditoria_ECG0!$Z$2:$Z$177,"E",Auditoria_ECG0!$F$2:$F$177,"&lt;&gt;Futura*",Auditoria_ECG0!$F$2:$F$177,"&lt;&gt;*periodo transitorio*")&gt;0,"E",IF(COUNTIFS(Auditoria_ECG0!$B$2:$B$177,"RGPD",Auditoria_ECG0!$Z$2:$Z$177,"C",Auditoria_ECG0!$F$2:$F$177,"&lt;&gt;Futura*",Auditoria_ECG0!$F$2:$F$177,"&lt;&gt;*periodo transitorio*")&gt;0,"C",IF(COUNTIFS(Auditoria_ECG0!$B$2:$B$177,"RGPD",Auditoria_ECG0!$Z$2:$Z$177,"G",Auditoria_ECG0!$F$2:$F$177,"&lt;&gt;Futura*",Auditoria_ECG0!$F$2:$F$177,"&lt;&gt;*periodo transitorio*")&gt;0,"G","0")))</f>
        <v>G</v>
      </c>
      <c r="G36" s="17" t="str">
        <f aca="false">IF(COUNTIFS(Auditoria_ECG0!$B$2:$B$177,"AI Act",Auditoria_ECG0!$Z$2:$Z$177,"E",Auditoria_ECG0!$F$2:$F$177,"&lt;&gt;Futura*",Auditoria_ECG0!$F$2:$F$177,"&lt;&gt;*periodo transitorio*")&gt;0,"E",IF(COUNTIFS(Auditoria_ECG0!$B$2:$B$177,"AI Act",Auditoria_ECG0!$Z$2:$Z$177,"C",Auditoria_ECG0!$F$2:$F$177,"&lt;&gt;Futura*",Auditoria_ECG0!$F$2:$F$177,"&lt;&gt;*periodo transitorio*")&gt;0,"C",IF(COUNTIFS(Auditoria_ECG0!$B$2:$B$177,"AI Act",Auditoria_ECG0!$Z$2:$Z$177,"G",Auditoria_ECG0!$F$2:$F$177,"&lt;&gt;Futura*",Auditoria_ECG0!$F$2:$F$177,"&lt;&gt;*periodo transitorio*")&gt;0,"G","0")))</f>
        <v>G</v>
      </c>
      <c r="H36" s="17" t="str">
        <f aca="false">IF(COUNTIFS(Auditoria_ECG0!$B$2:$B$177,"DORA",Auditoria_ECG0!$Z$2:$Z$177,"E",Auditoria_ECG0!$F$2:$F$177,"&lt;&gt;Futura*",Auditoria_ECG0!$F$2:$F$177,"&lt;&gt;*periodo transitorio*")&gt;0,"E",IF(COUNTIFS(Auditoria_ECG0!$B$2:$B$177,"DORA",Auditoria_ECG0!$Z$2:$Z$177,"C",Auditoria_ECG0!$F$2:$F$177,"&lt;&gt;Futura*",Auditoria_ECG0!$F$2:$F$177,"&lt;&gt;*periodo transitorio*")&gt;0,"C",IF(COUNTIFS(Auditoria_ECG0!$B$2:$B$177,"DORA",Auditoria_ECG0!$Z$2:$Z$177,"G",Auditoria_ECG0!$F$2:$F$177,"&lt;&gt;Futura*",Auditoria_ECG0!$F$2:$F$177,"&lt;&gt;*periodo transitorio*")&gt;0,"G","0")))</f>
        <v>G</v>
      </c>
      <c r="I36" s="17" t="str">
        <f aca="false">IF(COUNTIFS(Auditoria_ECG0!$B$2:$B$177,"eIDAS 2",Auditoria_ECG0!$Z$2:$Z$177,"E",Auditoria_ECG0!$F$2:$F$177,"&lt;&gt;Futura*",Auditoria_ECG0!$F$2:$F$177,"&lt;&gt;*periodo transitorio*")&gt;0,"E",IF(COUNTIFS(Auditoria_ECG0!$B$2:$B$177,"eIDAS 2",Auditoria_ECG0!$Z$2:$Z$177,"C",Auditoria_ECG0!$F$2:$F$177,"&lt;&gt;Futura*",Auditoria_ECG0!$F$2:$F$177,"&lt;&gt;*periodo transitorio*")&gt;0,"C",IF(COUNTIFS(Auditoria_ECG0!$B$2:$B$177,"eIDAS 2",Auditoria_ECG0!$Z$2:$Z$177,"G",Auditoria_ECG0!$F$2:$F$177,"&lt;&gt;Futura*",Auditoria_ECG0!$F$2:$F$177,"&lt;&gt;*periodo transitorio*")&gt;0,"G","0")))</f>
        <v>G</v>
      </c>
      <c r="J36" s="17" t="str">
        <f aca="false">IF(COUNTIFS(Auditoria_ECG0!$B$2:$B$177,"Accesibilidad",Auditoria_ECG0!$Z$2:$Z$177,"E",Auditoria_ECG0!$F$2:$F$177,"&lt;&gt;Futura*",Auditoria_ECG0!$F$2:$F$177,"&lt;&gt;*periodo transitorio*")&gt;0,"E",IF(COUNTIFS(Auditoria_ECG0!$B$2:$B$177,"Accesibilidad",Auditoria_ECG0!$Z$2:$Z$177,"C",Auditoria_ECG0!$F$2:$F$177,"&lt;&gt;Futura*",Auditoria_ECG0!$F$2:$F$177,"&lt;&gt;*periodo transitorio*")&gt;0,"C",IF(COUNTIFS(Auditoria_ECG0!$B$2:$B$177,"Accesibilidad",Auditoria_ECG0!$Z$2:$Z$177,"G",Auditoria_ECG0!$F$2:$F$177,"&lt;&gt;Futura*",Auditoria_ECG0!$F$2:$F$177,"&lt;&gt;*periodo transitorio*")&gt;0,"G","0")))</f>
        <v>C</v>
      </c>
      <c r="K36" s="17" t="str">
        <f aca="false">IF(COUNTIFS(Auditoria_ECG0!$B$2:$B$177,"Atención al cliente ES",Auditoria_ECG0!$Z$2:$Z$177,"E",Auditoria_ECG0!$F$2:$F$177,"&lt;&gt;Futura*",Auditoria_ECG0!$F$2:$F$177,"&lt;&gt;*periodo transitorio*")&gt;0,"E",IF(COUNTIFS(Auditoria_ECG0!$B$2:$B$177,"Atención al cliente ES",Auditoria_ECG0!$Z$2:$Z$177,"C",Auditoria_ECG0!$F$2:$F$177,"&lt;&gt;Futura*",Auditoria_ECG0!$F$2:$F$177,"&lt;&gt;*periodo transitorio*")&gt;0,"C",IF(COUNTIFS(Auditoria_ECG0!$B$2:$B$177,"Atención al cliente ES",Auditoria_ECG0!$Z$2:$Z$177,"G",Auditoria_ECG0!$F$2:$F$177,"&lt;&gt;Futura*",Auditoria_ECG0!$F$2:$F$177,"&lt;&gt;*periodo transitorio*")&gt;0,"G","0")))</f>
        <v>C</v>
      </c>
    </row>
    <row r="38" customFormat="false" ht="15" hidden="false" customHeight="true" outlineLevel="0" collapsed="false">
      <c r="A38" s="20" t="s">
        <v>1179</v>
      </c>
    </row>
  </sheetData>
  <conditionalFormatting sqref="C5:K15">
    <cfRule type="cellIs" priority="2" operator="equal" aboveAverage="0" equalAverage="0" bottom="0" percent="0" rank="0" text="" dxfId="4">
      <formula>"E"</formula>
    </cfRule>
    <cfRule type="cellIs" priority="3" operator="equal" aboveAverage="0" equalAverage="0" bottom="0" percent="0" rank="0" text="" dxfId="5">
      <formula>"C"</formula>
    </cfRule>
    <cfRule type="cellIs" priority="4" operator="equal" aboveAverage="0" equalAverage="0" bottom="0" percent="0" rank="0" text="" dxfId="6">
      <formula>"G"</formula>
    </cfRule>
    <cfRule type="cellIs" priority="5" operator="equal" aboveAverage="0" equalAverage="0" bottom="0" percent="0" rank="0" text="" dxfId="3">
      <formula>"0"</formula>
    </cfRule>
  </conditionalFormatting>
  <conditionalFormatting sqref="C26:K36">
    <cfRule type="cellIs" priority="6" operator="equal" aboveAverage="0" equalAverage="0" bottom="0" percent="0" rank="0" text="" dxfId="4">
      <formula>"E"</formula>
    </cfRule>
    <cfRule type="cellIs" priority="7" operator="equal" aboveAverage="0" equalAverage="0" bottom="0" percent="0" rank="0" text="" dxfId="5">
      <formula>"C"</formula>
    </cfRule>
    <cfRule type="cellIs" priority="8" operator="equal" aboveAverage="0" equalAverage="0" bottom="0" percent="0" rank="0" text="" dxfId="6">
      <formula>"G"</formula>
    </cfRule>
    <cfRule type="cellIs" priority="9" operator="equal" aboveAverage="0" equalAverage="0" bottom="0" percent="0" rank="0" text="" dxfId="3">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4"/>
    <col collapsed="false" customWidth="true" hidden="false" outlineLevel="0" max="11" min="3" style="1" width="13"/>
  </cols>
  <sheetData>
    <row r="1" customFormat="false" ht="17.25" hidden="false" customHeight="true" outlineLevel="0" collapsed="false">
      <c r="A1" s="18" t="s">
        <v>1180</v>
      </c>
    </row>
    <row r="2" customFormat="false" ht="36" hidden="false" customHeight="true" outlineLevel="0" collapsed="false">
      <c r="A2" s="25" t="s">
        <v>1181</v>
      </c>
      <c r="B2" s="25"/>
      <c r="C2" s="25"/>
      <c r="D2" s="25"/>
      <c r="E2" s="25"/>
      <c r="F2" s="25"/>
      <c r="G2" s="25"/>
      <c r="H2" s="25"/>
      <c r="I2" s="25"/>
      <c r="J2" s="25"/>
      <c r="K2" s="25"/>
      <c r="L2" s="25"/>
    </row>
    <row r="4" customFormat="false" ht="15" hidden="false" customHeight="true" outlineLevel="0" collapsed="false">
      <c r="A4" s="8" t="s">
        <v>1182</v>
      </c>
    </row>
    <row r="5" customFormat="false" ht="23.25" hidden="false" customHeight="true" outlineLevel="0" collapsed="false">
      <c r="A5" s="28" t="s">
        <v>136</v>
      </c>
      <c r="B5" s="28" t="s">
        <v>1055</v>
      </c>
      <c r="C5" s="28" t="s">
        <v>194</v>
      </c>
      <c r="D5" s="28" t="s">
        <v>389</v>
      </c>
      <c r="E5" s="28" t="s">
        <v>530</v>
      </c>
      <c r="F5" s="28" t="s">
        <v>758</v>
      </c>
      <c r="G5" s="28" t="s">
        <v>816</v>
      </c>
      <c r="H5" s="28" t="s">
        <v>896</v>
      </c>
      <c r="I5" s="28" t="s">
        <v>939</v>
      </c>
      <c r="J5" s="28" t="s">
        <v>952</v>
      </c>
      <c r="K5" s="28" t="s">
        <v>315</v>
      </c>
    </row>
    <row r="6" customFormat="false" ht="15" hidden="false" customHeight="true" outlineLevel="0" collapsed="false">
      <c r="A6" s="8" t="s">
        <v>182</v>
      </c>
      <c r="B6" s="10" t="s">
        <v>140</v>
      </c>
      <c r="C6" s="17" t="str">
        <f aca="false">IF(COUNTIFS(Codificacion!$AE$2:$AE$177,1,Codificacion!$B$2:$B$177,"Cuenta básica",Auditoria_ECG0!$H$2:$H$177,"E",Auditoria_ECG0!$F$2:$F$177,"&lt;&gt;Futura*",Auditoria_ECG0!$F$2:$F$177,"&lt;&gt;*periodo transitorio*")&gt;0,"E",IF(COUNTIFS(Codificacion!$AE$2:$AE$177,1,Codificacion!$B$2:$B$177,"Cuenta básica",Auditoria_ECG0!$H$2:$H$177,"C",Auditoria_ECG0!$F$2:$F$177,"&lt;&gt;Futura*",Auditoria_ECG0!$F$2:$F$177,"&lt;&gt;*periodo transitorio*")&gt;0,"C",IF(COUNTIFS(Codificacion!$AE$2:$AE$177,1,Codificacion!$B$2:$B$177,"Cuenta básica",Auditoria_ECG0!$H$2:$H$177,"G",Auditoria_ECG0!$F$2:$F$177,"&lt;&gt;Futura*",Auditoria_ECG0!$F$2:$F$177,"&lt;&gt;*periodo transitorio*")&gt;0,"G","0")))</f>
        <v>C</v>
      </c>
      <c r="D6" s="17" t="str">
        <f aca="false">IF(COUNTIFS(Codificacion!$AE$2:$AE$177,1,Codificacion!$B$2:$B$177,"AML",Auditoria_ECG0!$H$2:$H$177,"E",Auditoria_ECG0!$F$2:$F$177,"&lt;&gt;Futura*",Auditoria_ECG0!$F$2:$F$177,"&lt;&gt;*periodo transitorio*")&gt;0,"E",IF(COUNTIFS(Codificacion!$AE$2:$AE$177,1,Codificacion!$B$2:$B$177,"AML",Auditoria_ECG0!$H$2:$H$177,"C",Auditoria_ECG0!$F$2:$F$177,"&lt;&gt;Futura*",Auditoria_ECG0!$F$2:$F$177,"&lt;&gt;*periodo transitorio*")&gt;0,"C",IF(COUNTIFS(Codificacion!$AE$2:$AE$177,1,Codificacion!$B$2:$B$177,"AML",Auditoria_ECG0!$H$2:$H$177,"G",Auditoria_ECG0!$F$2:$F$177,"&lt;&gt;Futura*",Auditoria_ECG0!$F$2:$F$177,"&lt;&gt;*periodo transitorio*")&gt;0,"G","0")))</f>
        <v>E</v>
      </c>
      <c r="E6" s="17" t="str">
        <f aca="false">IF(COUNTIFS(Codificacion!$AE$2:$AE$177,1,Codificacion!$B$2:$B$177,"Directrices EBA",Auditoria_ECG0!$H$2:$H$177,"E",Auditoria_ECG0!$F$2:$F$177,"&lt;&gt;Futura*",Auditoria_ECG0!$F$2:$F$177,"&lt;&gt;*periodo transitorio*")&gt;0,"E",IF(COUNTIFS(Codificacion!$AE$2:$AE$177,1,Codificacion!$B$2:$B$177,"Directrices EBA",Auditoria_ECG0!$H$2:$H$177,"C",Auditoria_ECG0!$F$2:$F$177,"&lt;&gt;Futura*",Auditoria_ECG0!$F$2:$F$177,"&lt;&gt;*periodo transitorio*")&gt;0,"C",IF(COUNTIFS(Codificacion!$AE$2:$AE$177,1,Codificacion!$B$2:$B$177,"Directrices EBA",Auditoria_ECG0!$H$2:$H$177,"G",Auditoria_ECG0!$F$2:$F$177,"&lt;&gt;Futura*",Auditoria_ECG0!$F$2:$F$177,"&lt;&gt;*periodo transitorio*")&gt;0,"G","0")))</f>
        <v>C</v>
      </c>
      <c r="F6" s="17" t="str">
        <f aca="false">IF(COUNTIFS(Codificacion!$AE$2:$AE$177,1,Codificacion!$B$2:$B$177,"RGPD",Auditoria_ECG0!$H$2:$H$177,"E",Auditoria_ECG0!$F$2:$F$177,"&lt;&gt;Futura*",Auditoria_ECG0!$F$2:$F$177,"&lt;&gt;*periodo transitorio*")&gt;0,"E",IF(COUNTIFS(Codificacion!$AE$2:$AE$177,1,Codificacion!$B$2:$B$177,"RGPD",Auditoria_ECG0!$H$2:$H$177,"C",Auditoria_ECG0!$F$2:$F$177,"&lt;&gt;Futura*",Auditoria_ECG0!$F$2:$F$177,"&lt;&gt;*periodo transitorio*")&gt;0,"C",IF(COUNTIFS(Codificacion!$AE$2:$AE$177,1,Codificacion!$B$2:$B$177,"RGPD",Auditoria_ECG0!$H$2:$H$177,"G",Auditoria_ECG0!$F$2:$F$177,"&lt;&gt;Futura*",Auditoria_ECG0!$F$2:$F$177,"&lt;&gt;*periodo transitorio*")&gt;0,"G","0")))</f>
        <v>G</v>
      </c>
      <c r="G6" s="17" t="str">
        <f aca="false">IF(COUNTIFS(Codificacion!$AE$2:$AE$177,1,Codificacion!$B$2:$B$177,"AI Act",Auditoria_ECG0!$H$2:$H$177,"E",Auditoria_ECG0!$F$2:$F$177,"&lt;&gt;Futura*",Auditoria_ECG0!$F$2:$F$177,"&lt;&gt;*periodo transitorio*")&gt;0,"E",IF(COUNTIFS(Codificacion!$AE$2:$AE$177,1,Codificacion!$B$2:$B$177,"AI Act",Auditoria_ECG0!$H$2:$H$177,"C",Auditoria_ECG0!$F$2:$F$177,"&lt;&gt;Futura*",Auditoria_ECG0!$F$2:$F$177,"&lt;&gt;*periodo transitorio*")&gt;0,"C",IF(COUNTIFS(Codificacion!$AE$2:$AE$177,1,Codificacion!$B$2:$B$177,"AI Act",Auditoria_ECG0!$H$2:$H$177,"G",Auditoria_ECG0!$F$2:$F$177,"&lt;&gt;Futura*",Auditoria_ECG0!$F$2:$F$177,"&lt;&gt;*periodo transitorio*")&gt;0,"G","0")))</f>
        <v>0</v>
      </c>
      <c r="H6" s="17" t="str">
        <f aca="false">IF(COUNTIFS(Codificacion!$AE$2:$AE$177,1,Codificacion!$B$2:$B$177,"DORA",Auditoria_ECG0!$H$2:$H$177,"E",Auditoria_ECG0!$F$2:$F$177,"&lt;&gt;Futura*",Auditoria_ECG0!$F$2:$F$177,"&lt;&gt;*periodo transitorio*")&gt;0,"E",IF(COUNTIFS(Codificacion!$AE$2:$AE$177,1,Codificacion!$B$2:$B$177,"DORA",Auditoria_ECG0!$H$2:$H$177,"C",Auditoria_ECG0!$F$2:$F$177,"&lt;&gt;Futura*",Auditoria_ECG0!$F$2:$F$177,"&lt;&gt;*periodo transitorio*")&gt;0,"C",IF(COUNTIFS(Codificacion!$AE$2:$AE$177,1,Codificacion!$B$2:$B$177,"DORA",Auditoria_ECG0!$H$2:$H$177,"G",Auditoria_ECG0!$F$2:$F$177,"&lt;&gt;Futura*",Auditoria_ECG0!$F$2:$F$177,"&lt;&gt;*periodo transitorio*")&gt;0,"G","0")))</f>
        <v>0</v>
      </c>
      <c r="I6" s="17" t="str">
        <f aca="false">IF(COUNTIFS(Codificacion!$AE$2:$AE$177,1,Codificacion!$B$2:$B$177,"eIDAS 2",Auditoria_ECG0!$H$2:$H$177,"E",Auditoria_ECG0!$F$2:$F$177,"&lt;&gt;Futura*",Auditoria_ECG0!$F$2:$F$177,"&lt;&gt;*periodo transitorio*")&gt;0,"E",IF(COUNTIFS(Codificacion!$AE$2:$AE$177,1,Codificacion!$B$2:$B$177,"eIDAS 2",Auditoria_ECG0!$H$2:$H$177,"C",Auditoria_ECG0!$F$2:$F$177,"&lt;&gt;Futura*",Auditoria_ECG0!$F$2:$F$177,"&lt;&gt;*periodo transitorio*")&gt;0,"C",IF(COUNTIFS(Codificacion!$AE$2:$AE$177,1,Codificacion!$B$2:$B$177,"eIDAS 2",Auditoria_ECG0!$H$2:$H$177,"G",Auditoria_ECG0!$F$2:$F$177,"&lt;&gt;Futura*",Auditoria_ECG0!$F$2:$F$177,"&lt;&gt;*periodo transitorio*")&gt;0,"G","0")))</f>
        <v>0</v>
      </c>
      <c r="J6" s="17" t="str">
        <f aca="false">IF(COUNTIFS(Codificacion!$AE$2:$AE$177,1,Codificacion!$B$2:$B$177,"Accesibilidad",Auditoria_ECG0!$H$2:$H$177,"E",Auditoria_ECG0!$F$2:$F$177,"&lt;&gt;Futura*",Auditoria_ECG0!$F$2:$F$177,"&lt;&gt;*periodo transitorio*")&gt;0,"E",IF(COUNTIFS(Codificacion!$AE$2:$AE$177,1,Codificacion!$B$2:$B$177,"Accesibilidad",Auditoria_ECG0!$H$2:$H$177,"C",Auditoria_ECG0!$F$2:$F$177,"&lt;&gt;Futura*",Auditoria_ECG0!$F$2:$F$177,"&lt;&gt;*periodo transitorio*")&gt;0,"C",IF(COUNTIFS(Codificacion!$AE$2:$AE$177,1,Codificacion!$B$2:$B$177,"Accesibilidad",Auditoria_ECG0!$H$2:$H$177,"G",Auditoria_ECG0!$F$2:$F$177,"&lt;&gt;Futura*",Auditoria_ECG0!$F$2:$F$177,"&lt;&gt;*periodo transitorio*")&gt;0,"G","0")))</f>
        <v>G</v>
      </c>
      <c r="K6" s="17" t="str">
        <f aca="false">IF(COUNTIFS(Codificacion!$AE$2:$AE$177,1,Codificacion!$B$2:$B$177,"Atención al cliente ES",Auditoria_ECG0!$H$2:$H$177,"E",Auditoria_ECG0!$F$2:$F$177,"&lt;&gt;Futura*",Auditoria_ECG0!$F$2:$F$177,"&lt;&gt;*periodo transitorio*")&gt;0,"E",IF(COUNTIFS(Codificacion!$AE$2:$AE$177,1,Codificacion!$B$2:$B$177,"Atención al cliente ES",Auditoria_ECG0!$H$2:$H$177,"C",Auditoria_ECG0!$F$2:$F$177,"&lt;&gt;Futura*",Auditoria_ECG0!$F$2:$F$177,"&lt;&gt;*periodo transitorio*")&gt;0,"C",IF(COUNTIFS(Codificacion!$AE$2:$AE$177,1,Codificacion!$B$2:$B$177,"Atención al cliente ES",Auditoria_ECG0!$H$2:$H$177,"G",Auditoria_ECG0!$F$2:$F$177,"&lt;&gt;Futura*",Auditoria_ECG0!$F$2:$F$177,"&lt;&gt;*periodo transitorio*")&gt;0,"G","0")))</f>
        <v>C</v>
      </c>
    </row>
    <row r="7" customFormat="false" ht="15" hidden="false" customHeight="true" outlineLevel="0" collapsed="false">
      <c r="A7" s="8" t="s">
        <v>183</v>
      </c>
      <c r="B7" s="10" t="s">
        <v>1057</v>
      </c>
      <c r="C7" s="17" t="str">
        <f aca="false">IF(COUNTIFS(Codificacion!$AF$2:$AF$177,1,Codificacion!$B$2:$B$177,"Cuenta básica",Auditoria_ECG0!$H$2:$H$177,"E",Auditoria_ECG0!$F$2:$F$177,"&lt;&gt;Futura*",Auditoria_ECG0!$F$2:$F$177,"&lt;&gt;*periodo transitorio*")&gt;0,"E",IF(COUNTIFS(Codificacion!$AF$2:$AF$177,1,Codificacion!$B$2:$B$177,"Cuenta básica",Auditoria_ECG0!$H$2:$H$177,"C",Auditoria_ECG0!$F$2:$F$177,"&lt;&gt;Futura*",Auditoria_ECG0!$F$2:$F$177,"&lt;&gt;*periodo transitorio*")&gt;0,"C",IF(COUNTIFS(Codificacion!$AF$2:$AF$177,1,Codificacion!$B$2:$B$177,"Cuenta básica",Auditoria_ECG0!$H$2:$H$177,"G",Auditoria_ECG0!$F$2:$F$177,"&lt;&gt;Futura*",Auditoria_ECG0!$F$2:$F$177,"&lt;&gt;*periodo transitorio*")&gt;0,"G","0")))</f>
        <v>0</v>
      </c>
      <c r="D7" s="17" t="str">
        <f aca="false">IF(COUNTIFS(Codificacion!$AF$2:$AF$177,1,Codificacion!$B$2:$B$177,"AML",Auditoria_ECG0!$H$2:$H$177,"E",Auditoria_ECG0!$F$2:$F$177,"&lt;&gt;Futura*",Auditoria_ECG0!$F$2:$F$177,"&lt;&gt;*periodo transitorio*")&gt;0,"E",IF(COUNTIFS(Codificacion!$AF$2:$AF$177,1,Codificacion!$B$2:$B$177,"AML",Auditoria_ECG0!$H$2:$H$177,"C",Auditoria_ECG0!$F$2:$F$177,"&lt;&gt;Futura*",Auditoria_ECG0!$F$2:$F$177,"&lt;&gt;*periodo transitorio*")&gt;0,"C",IF(COUNTIFS(Codificacion!$AF$2:$AF$177,1,Codificacion!$B$2:$B$177,"AML",Auditoria_ECG0!$H$2:$H$177,"G",Auditoria_ECG0!$F$2:$F$177,"&lt;&gt;Futura*",Auditoria_ECG0!$F$2:$F$177,"&lt;&gt;*periodo transitorio*")&gt;0,"G","0")))</f>
        <v>C</v>
      </c>
      <c r="E7" s="17" t="str">
        <f aca="false">IF(COUNTIFS(Codificacion!$AF$2:$AF$177,1,Codificacion!$B$2:$B$177,"Directrices EBA",Auditoria_ECG0!$H$2:$H$177,"E",Auditoria_ECG0!$F$2:$F$177,"&lt;&gt;Futura*",Auditoria_ECG0!$F$2:$F$177,"&lt;&gt;*periodo transitorio*")&gt;0,"E",IF(COUNTIFS(Codificacion!$AF$2:$AF$177,1,Codificacion!$B$2:$B$177,"Directrices EBA",Auditoria_ECG0!$H$2:$H$177,"C",Auditoria_ECG0!$F$2:$F$177,"&lt;&gt;Futura*",Auditoria_ECG0!$F$2:$F$177,"&lt;&gt;*periodo transitorio*")&gt;0,"C",IF(COUNTIFS(Codificacion!$AF$2:$AF$177,1,Codificacion!$B$2:$B$177,"Directrices EBA",Auditoria_ECG0!$H$2:$H$177,"G",Auditoria_ECG0!$F$2:$F$177,"&lt;&gt;Futura*",Auditoria_ECG0!$F$2:$F$177,"&lt;&gt;*periodo transitorio*")&gt;0,"G","0")))</f>
        <v>0</v>
      </c>
      <c r="F7" s="17" t="str">
        <f aca="false">IF(COUNTIFS(Codificacion!$AF$2:$AF$177,1,Codificacion!$B$2:$B$177,"RGPD",Auditoria_ECG0!$H$2:$H$177,"E",Auditoria_ECG0!$F$2:$F$177,"&lt;&gt;Futura*",Auditoria_ECG0!$F$2:$F$177,"&lt;&gt;*periodo transitorio*")&gt;0,"E",IF(COUNTIFS(Codificacion!$AF$2:$AF$177,1,Codificacion!$B$2:$B$177,"RGPD",Auditoria_ECG0!$H$2:$H$177,"C",Auditoria_ECG0!$F$2:$F$177,"&lt;&gt;Futura*",Auditoria_ECG0!$F$2:$F$177,"&lt;&gt;*periodo transitorio*")&gt;0,"C",IF(COUNTIFS(Codificacion!$AF$2:$AF$177,1,Codificacion!$B$2:$B$177,"RGPD",Auditoria_ECG0!$H$2:$H$177,"G",Auditoria_ECG0!$F$2:$F$177,"&lt;&gt;Futura*",Auditoria_ECG0!$F$2:$F$177,"&lt;&gt;*periodo transitorio*")&gt;0,"G","0")))</f>
        <v>0</v>
      </c>
      <c r="G7" s="17" t="str">
        <f aca="false">IF(COUNTIFS(Codificacion!$AF$2:$AF$177,1,Codificacion!$B$2:$B$177,"AI Act",Auditoria_ECG0!$H$2:$H$177,"E",Auditoria_ECG0!$F$2:$F$177,"&lt;&gt;Futura*",Auditoria_ECG0!$F$2:$F$177,"&lt;&gt;*periodo transitorio*")&gt;0,"E",IF(COUNTIFS(Codificacion!$AF$2:$AF$177,1,Codificacion!$B$2:$B$177,"AI Act",Auditoria_ECG0!$H$2:$H$177,"C",Auditoria_ECG0!$F$2:$F$177,"&lt;&gt;Futura*",Auditoria_ECG0!$F$2:$F$177,"&lt;&gt;*periodo transitorio*")&gt;0,"C",IF(COUNTIFS(Codificacion!$AF$2:$AF$177,1,Codificacion!$B$2:$B$177,"AI Act",Auditoria_ECG0!$H$2:$H$177,"G",Auditoria_ECG0!$F$2:$F$177,"&lt;&gt;Futura*",Auditoria_ECG0!$F$2:$F$177,"&lt;&gt;*periodo transitorio*")&gt;0,"G","0")))</f>
        <v>0</v>
      </c>
      <c r="H7" s="17" t="str">
        <f aca="false">IF(COUNTIFS(Codificacion!$AF$2:$AF$177,1,Codificacion!$B$2:$B$177,"DORA",Auditoria_ECG0!$H$2:$H$177,"E",Auditoria_ECG0!$F$2:$F$177,"&lt;&gt;Futura*",Auditoria_ECG0!$F$2:$F$177,"&lt;&gt;*periodo transitorio*")&gt;0,"E",IF(COUNTIFS(Codificacion!$AF$2:$AF$177,1,Codificacion!$B$2:$B$177,"DORA",Auditoria_ECG0!$H$2:$H$177,"C",Auditoria_ECG0!$F$2:$F$177,"&lt;&gt;Futura*",Auditoria_ECG0!$F$2:$F$177,"&lt;&gt;*periodo transitorio*")&gt;0,"C",IF(COUNTIFS(Codificacion!$AF$2:$AF$177,1,Codificacion!$B$2:$B$177,"DORA",Auditoria_ECG0!$H$2:$H$177,"G",Auditoria_ECG0!$F$2:$F$177,"&lt;&gt;Futura*",Auditoria_ECG0!$F$2:$F$177,"&lt;&gt;*periodo transitorio*")&gt;0,"G","0")))</f>
        <v>0</v>
      </c>
      <c r="I7" s="17" t="str">
        <f aca="false">IF(COUNTIFS(Codificacion!$AF$2:$AF$177,1,Codificacion!$B$2:$B$177,"eIDAS 2",Auditoria_ECG0!$H$2:$H$177,"E",Auditoria_ECG0!$F$2:$F$177,"&lt;&gt;Futura*",Auditoria_ECG0!$F$2:$F$177,"&lt;&gt;*periodo transitorio*")&gt;0,"E",IF(COUNTIFS(Codificacion!$AF$2:$AF$177,1,Codificacion!$B$2:$B$177,"eIDAS 2",Auditoria_ECG0!$H$2:$H$177,"C",Auditoria_ECG0!$F$2:$F$177,"&lt;&gt;Futura*",Auditoria_ECG0!$F$2:$F$177,"&lt;&gt;*periodo transitorio*")&gt;0,"C",IF(COUNTIFS(Codificacion!$AF$2:$AF$177,1,Codificacion!$B$2:$B$177,"eIDAS 2",Auditoria_ECG0!$H$2:$H$177,"G",Auditoria_ECG0!$F$2:$F$177,"&lt;&gt;Futura*",Auditoria_ECG0!$F$2:$F$177,"&lt;&gt;*periodo transitorio*")&gt;0,"G","0")))</f>
        <v>0</v>
      </c>
      <c r="J7" s="17" t="str">
        <f aca="false">IF(COUNTIFS(Codificacion!$AF$2:$AF$177,1,Codificacion!$B$2:$B$177,"Accesibilidad",Auditoria_ECG0!$H$2:$H$177,"E",Auditoria_ECG0!$F$2:$F$177,"&lt;&gt;Futura*",Auditoria_ECG0!$F$2:$F$177,"&lt;&gt;*periodo transitorio*")&gt;0,"E",IF(COUNTIFS(Codificacion!$AF$2:$AF$177,1,Codificacion!$B$2:$B$177,"Accesibilidad",Auditoria_ECG0!$H$2:$H$177,"C",Auditoria_ECG0!$F$2:$F$177,"&lt;&gt;Futura*",Auditoria_ECG0!$F$2:$F$177,"&lt;&gt;*periodo transitorio*")&gt;0,"C",IF(COUNTIFS(Codificacion!$AF$2:$AF$177,1,Codificacion!$B$2:$B$177,"Accesibilidad",Auditoria_ECG0!$H$2:$H$177,"G",Auditoria_ECG0!$F$2:$F$177,"&lt;&gt;Futura*",Auditoria_ECG0!$F$2:$F$177,"&lt;&gt;*periodo transitorio*")&gt;0,"G","0")))</f>
        <v>G</v>
      </c>
      <c r="K7" s="17" t="str">
        <f aca="false">IF(COUNTIFS(Codificacion!$AF$2:$AF$177,1,Codificacion!$B$2:$B$177,"Atención al cliente ES",Auditoria_ECG0!$H$2:$H$177,"E",Auditoria_ECG0!$F$2:$F$177,"&lt;&gt;Futura*",Auditoria_ECG0!$F$2:$F$177,"&lt;&gt;*periodo transitorio*")&gt;0,"E",IF(COUNTIFS(Codificacion!$AF$2:$AF$177,1,Codificacion!$B$2:$B$177,"Atención al cliente ES",Auditoria_ECG0!$H$2:$H$177,"C",Auditoria_ECG0!$F$2:$F$177,"&lt;&gt;Futura*",Auditoria_ECG0!$F$2:$F$177,"&lt;&gt;*periodo transitorio*")&gt;0,"C",IF(COUNTIFS(Codificacion!$AF$2:$AF$177,1,Codificacion!$B$2:$B$177,"Atención al cliente ES",Auditoria_ECG0!$H$2:$H$177,"G",Auditoria_ECG0!$F$2:$F$177,"&lt;&gt;Futura*",Auditoria_ECG0!$F$2:$F$177,"&lt;&gt;*periodo transitorio*")&gt;0,"G","0")))</f>
        <v>0</v>
      </c>
    </row>
    <row r="8" customFormat="false" ht="15" hidden="false" customHeight="true" outlineLevel="0" collapsed="false">
      <c r="A8" s="8" t="s">
        <v>184</v>
      </c>
      <c r="B8" s="10" t="s">
        <v>1058</v>
      </c>
      <c r="C8" s="17" t="str">
        <f aca="false">IF(COUNTIFS(Codificacion!$AG$2:$AG$177,1,Codificacion!$B$2:$B$177,"Cuenta básica",Auditoria_ECG0!$H$2:$H$177,"E",Auditoria_ECG0!$F$2:$F$177,"&lt;&gt;Futura*",Auditoria_ECG0!$F$2:$F$177,"&lt;&gt;*periodo transitorio*")&gt;0,"E",IF(COUNTIFS(Codificacion!$AG$2:$AG$177,1,Codificacion!$B$2:$B$177,"Cuenta básica",Auditoria_ECG0!$H$2:$H$177,"C",Auditoria_ECG0!$F$2:$F$177,"&lt;&gt;Futura*",Auditoria_ECG0!$F$2:$F$177,"&lt;&gt;*periodo transitorio*")&gt;0,"C",IF(COUNTIFS(Codificacion!$AG$2:$AG$177,1,Codificacion!$B$2:$B$177,"Cuenta básica",Auditoria_ECG0!$H$2:$H$177,"G",Auditoria_ECG0!$F$2:$F$177,"&lt;&gt;Futura*",Auditoria_ECG0!$F$2:$F$177,"&lt;&gt;*periodo transitorio*")&gt;0,"G","0")))</f>
        <v>0</v>
      </c>
      <c r="D8" s="17" t="str">
        <f aca="false">IF(COUNTIFS(Codificacion!$AG$2:$AG$177,1,Codificacion!$B$2:$B$177,"AML",Auditoria_ECG0!$H$2:$H$177,"E",Auditoria_ECG0!$F$2:$F$177,"&lt;&gt;Futura*",Auditoria_ECG0!$F$2:$F$177,"&lt;&gt;*periodo transitorio*")&gt;0,"E",IF(COUNTIFS(Codificacion!$AG$2:$AG$177,1,Codificacion!$B$2:$B$177,"AML",Auditoria_ECG0!$H$2:$H$177,"C",Auditoria_ECG0!$F$2:$F$177,"&lt;&gt;Futura*",Auditoria_ECG0!$F$2:$F$177,"&lt;&gt;*periodo transitorio*")&gt;0,"C",IF(COUNTIFS(Codificacion!$AG$2:$AG$177,1,Codificacion!$B$2:$B$177,"AML",Auditoria_ECG0!$H$2:$H$177,"G",Auditoria_ECG0!$F$2:$F$177,"&lt;&gt;Futura*",Auditoria_ECG0!$F$2:$F$177,"&lt;&gt;*periodo transitorio*")&gt;0,"G","0")))</f>
        <v>0</v>
      </c>
      <c r="E8" s="17" t="str">
        <f aca="false">IF(COUNTIFS(Codificacion!$AG$2:$AG$177,1,Codificacion!$B$2:$B$177,"Directrices EBA",Auditoria_ECG0!$H$2:$H$177,"E",Auditoria_ECG0!$F$2:$F$177,"&lt;&gt;Futura*",Auditoria_ECG0!$F$2:$F$177,"&lt;&gt;*periodo transitorio*")&gt;0,"E",IF(COUNTIFS(Codificacion!$AG$2:$AG$177,1,Codificacion!$B$2:$B$177,"Directrices EBA",Auditoria_ECG0!$H$2:$H$177,"C",Auditoria_ECG0!$F$2:$F$177,"&lt;&gt;Futura*",Auditoria_ECG0!$F$2:$F$177,"&lt;&gt;*periodo transitorio*")&gt;0,"C",IF(COUNTIFS(Codificacion!$AG$2:$AG$177,1,Codificacion!$B$2:$B$177,"Directrices EBA",Auditoria_ECG0!$H$2:$H$177,"G",Auditoria_ECG0!$F$2:$F$177,"&lt;&gt;Futura*",Auditoria_ECG0!$F$2:$F$177,"&lt;&gt;*periodo transitorio*")&gt;0,"G","0")))</f>
        <v>C</v>
      </c>
      <c r="F8" s="17" t="str">
        <f aca="false">IF(COUNTIFS(Codificacion!$AG$2:$AG$177,1,Codificacion!$B$2:$B$177,"RGPD",Auditoria_ECG0!$H$2:$H$177,"E",Auditoria_ECG0!$F$2:$F$177,"&lt;&gt;Futura*",Auditoria_ECG0!$F$2:$F$177,"&lt;&gt;*periodo transitorio*")&gt;0,"E",IF(COUNTIFS(Codificacion!$AG$2:$AG$177,1,Codificacion!$B$2:$B$177,"RGPD",Auditoria_ECG0!$H$2:$H$177,"C",Auditoria_ECG0!$F$2:$F$177,"&lt;&gt;Futura*",Auditoria_ECG0!$F$2:$F$177,"&lt;&gt;*periodo transitorio*")&gt;0,"C",IF(COUNTIFS(Codificacion!$AG$2:$AG$177,1,Codificacion!$B$2:$B$177,"RGPD",Auditoria_ECG0!$H$2:$H$177,"G",Auditoria_ECG0!$F$2:$F$177,"&lt;&gt;Futura*",Auditoria_ECG0!$F$2:$F$177,"&lt;&gt;*periodo transitorio*")&gt;0,"G","0")))</f>
        <v>0</v>
      </c>
      <c r="G8" s="17" t="str">
        <f aca="false">IF(COUNTIFS(Codificacion!$AG$2:$AG$177,1,Codificacion!$B$2:$B$177,"AI Act",Auditoria_ECG0!$H$2:$H$177,"E",Auditoria_ECG0!$F$2:$F$177,"&lt;&gt;Futura*",Auditoria_ECG0!$F$2:$F$177,"&lt;&gt;*periodo transitorio*")&gt;0,"E",IF(COUNTIFS(Codificacion!$AG$2:$AG$177,1,Codificacion!$B$2:$B$177,"AI Act",Auditoria_ECG0!$H$2:$H$177,"C",Auditoria_ECG0!$F$2:$F$177,"&lt;&gt;Futura*",Auditoria_ECG0!$F$2:$F$177,"&lt;&gt;*periodo transitorio*")&gt;0,"C",IF(COUNTIFS(Codificacion!$AG$2:$AG$177,1,Codificacion!$B$2:$B$177,"AI Act",Auditoria_ECG0!$H$2:$H$177,"G",Auditoria_ECG0!$F$2:$F$177,"&lt;&gt;Futura*",Auditoria_ECG0!$F$2:$F$177,"&lt;&gt;*periodo transitorio*")&gt;0,"G","0")))</f>
        <v>0</v>
      </c>
      <c r="H8" s="17" t="str">
        <f aca="false">IF(COUNTIFS(Codificacion!$AG$2:$AG$177,1,Codificacion!$B$2:$B$177,"DORA",Auditoria_ECG0!$H$2:$H$177,"E",Auditoria_ECG0!$F$2:$F$177,"&lt;&gt;Futura*",Auditoria_ECG0!$F$2:$F$177,"&lt;&gt;*periodo transitorio*")&gt;0,"E",IF(COUNTIFS(Codificacion!$AG$2:$AG$177,1,Codificacion!$B$2:$B$177,"DORA",Auditoria_ECG0!$H$2:$H$177,"C",Auditoria_ECG0!$F$2:$F$177,"&lt;&gt;Futura*",Auditoria_ECG0!$F$2:$F$177,"&lt;&gt;*periodo transitorio*")&gt;0,"C",IF(COUNTIFS(Codificacion!$AG$2:$AG$177,1,Codificacion!$B$2:$B$177,"DORA",Auditoria_ECG0!$H$2:$H$177,"G",Auditoria_ECG0!$F$2:$F$177,"&lt;&gt;Futura*",Auditoria_ECG0!$F$2:$F$177,"&lt;&gt;*periodo transitorio*")&gt;0,"G","0")))</f>
        <v>C</v>
      </c>
      <c r="I8" s="17" t="str">
        <f aca="false">IF(COUNTIFS(Codificacion!$AG$2:$AG$177,1,Codificacion!$B$2:$B$177,"eIDAS 2",Auditoria_ECG0!$H$2:$H$177,"E",Auditoria_ECG0!$F$2:$F$177,"&lt;&gt;Futura*",Auditoria_ECG0!$F$2:$F$177,"&lt;&gt;*periodo transitorio*")&gt;0,"E",IF(COUNTIFS(Codificacion!$AG$2:$AG$177,1,Codificacion!$B$2:$B$177,"eIDAS 2",Auditoria_ECG0!$H$2:$H$177,"C",Auditoria_ECG0!$F$2:$F$177,"&lt;&gt;Futura*",Auditoria_ECG0!$F$2:$F$177,"&lt;&gt;*periodo transitorio*")&gt;0,"C",IF(COUNTIFS(Codificacion!$AG$2:$AG$177,1,Codificacion!$B$2:$B$177,"eIDAS 2",Auditoria_ECG0!$H$2:$H$177,"G",Auditoria_ECG0!$F$2:$F$177,"&lt;&gt;Futura*",Auditoria_ECG0!$F$2:$F$177,"&lt;&gt;*periodo transitorio*")&gt;0,"G","0")))</f>
        <v>0</v>
      </c>
      <c r="J8" s="17" t="str">
        <f aca="false">IF(COUNTIFS(Codificacion!$AG$2:$AG$177,1,Codificacion!$B$2:$B$177,"Accesibilidad",Auditoria_ECG0!$H$2:$H$177,"E",Auditoria_ECG0!$F$2:$F$177,"&lt;&gt;Futura*",Auditoria_ECG0!$F$2:$F$177,"&lt;&gt;*periodo transitorio*")&gt;0,"E",IF(COUNTIFS(Codificacion!$AG$2:$AG$177,1,Codificacion!$B$2:$B$177,"Accesibilidad",Auditoria_ECG0!$H$2:$H$177,"C",Auditoria_ECG0!$F$2:$F$177,"&lt;&gt;Futura*",Auditoria_ECG0!$F$2:$F$177,"&lt;&gt;*periodo transitorio*")&gt;0,"C",IF(COUNTIFS(Codificacion!$AG$2:$AG$177,1,Codificacion!$B$2:$B$177,"Accesibilidad",Auditoria_ECG0!$H$2:$H$177,"G",Auditoria_ECG0!$F$2:$F$177,"&lt;&gt;Futura*",Auditoria_ECG0!$F$2:$F$177,"&lt;&gt;*periodo transitorio*")&gt;0,"G","0")))</f>
        <v>0</v>
      </c>
      <c r="K8" s="17" t="str">
        <f aca="false">IF(COUNTIFS(Codificacion!$AG$2:$AG$177,1,Codificacion!$B$2:$B$177,"Atención al cliente ES",Auditoria_ECG0!$H$2:$H$177,"E",Auditoria_ECG0!$F$2:$F$177,"&lt;&gt;Futura*",Auditoria_ECG0!$F$2:$F$177,"&lt;&gt;*periodo transitorio*")&gt;0,"E",IF(COUNTIFS(Codificacion!$AG$2:$AG$177,1,Codificacion!$B$2:$B$177,"Atención al cliente ES",Auditoria_ECG0!$H$2:$H$177,"C",Auditoria_ECG0!$F$2:$F$177,"&lt;&gt;Futura*",Auditoria_ECG0!$F$2:$F$177,"&lt;&gt;*periodo transitorio*")&gt;0,"C",IF(COUNTIFS(Codificacion!$AG$2:$AG$177,1,Codificacion!$B$2:$B$177,"Atención al cliente ES",Auditoria_ECG0!$H$2:$H$177,"G",Auditoria_ECG0!$F$2:$F$177,"&lt;&gt;Futura*",Auditoria_ECG0!$F$2:$F$177,"&lt;&gt;*periodo transitorio*")&gt;0,"G","0")))</f>
        <v>0</v>
      </c>
    </row>
    <row r="9" customFormat="false" ht="15" hidden="false" customHeight="true" outlineLevel="0" collapsed="false">
      <c r="A9" s="8" t="s">
        <v>185</v>
      </c>
      <c r="B9" s="10" t="s">
        <v>147</v>
      </c>
      <c r="C9" s="17" t="str">
        <f aca="false">IF(COUNTIFS(Codificacion!$AH$2:$AH$177,1,Codificacion!$B$2:$B$177,"Cuenta básica",Auditoria_ECG0!$H$2:$H$177,"E",Auditoria_ECG0!$F$2:$F$177,"&lt;&gt;Futura*",Auditoria_ECG0!$F$2:$F$177,"&lt;&gt;*periodo transitorio*")&gt;0,"E",IF(COUNTIFS(Codificacion!$AH$2:$AH$177,1,Codificacion!$B$2:$B$177,"Cuenta básica",Auditoria_ECG0!$H$2:$H$177,"C",Auditoria_ECG0!$F$2:$F$177,"&lt;&gt;Futura*",Auditoria_ECG0!$F$2:$F$177,"&lt;&gt;*periodo transitorio*")&gt;0,"C",IF(COUNTIFS(Codificacion!$AH$2:$AH$177,1,Codificacion!$B$2:$B$177,"Cuenta básica",Auditoria_ECG0!$H$2:$H$177,"G",Auditoria_ECG0!$F$2:$F$177,"&lt;&gt;Futura*",Auditoria_ECG0!$F$2:$F$177,"&lt;&gt;*periodo transitorio*")&gt;0,"G","0")))</f>
        <v>0</v>
      </c>
      <c r="D9" s="17" t="str">
        <f aca="false">IF(COUNTIFS(Codificacion!$AH$2:$AH$177,1,Codificacion!$B$2:$B$177,"AML",Auditoria_ECG0!$H$2:$H$177,"E",Auditoria_ECG0!$F$2:$F$177,"&lt;&gt;Futura*",Auditoria_ECG0!$F$2:$F$177,"&lt;&gt;*periodo transitorio*")&gt;0,"E",IF(COUNTIFS(Codificacion!$AH$2:$AH$177,1,Codificacion!$B$2:$B$177,"AML",Auditoria_ECG0!$H$2:$H$177,"C",Auditoria_ECG0!$F$2:$F$177,"&lt;&gt;Futura*",Auditoria_ECG0!$F$2:$F$177,"&lt;&gt;*periodo transitorio*")&gt;0,"C",IF(COUNTIFS(Codificacion!$AH$2:$AH$177,1,Codificacion!$B$2:$B$177,"AML",Auditoria_ECG0!$H$2:$H$177,"G",Auditoria_ECG0!$F$2:$F$177,"&lt;&gt;Futura*",Auditoria_ECG0!$F$2:$F$177,"&lt;&gt;*periodo transitorio*")&gt;0,"G","0")))</f>
        <v>E</v>
      </c>
      <c r="E9" s="17" t="str">
        <f aca="false">IF(COUNTIFS(Codificacion!$AH$2:$AH$177,1,Codificacion!$B$2:$B$177,"Directrices EBA",Auditoria_ECG0!$H$2:$H$177,"E",Auditoria_ECG0!$F$2:$F$177,"&lt;&gt;Futura*",Auditoria_ECG0!$F$2:$F$177,"&lt;&gt;*periodo transitorio*")&gt;0,"E",IF(COUNTIFS(Codificacion!$AH$2:$AH$177,1,Codificacion!$B$2:$B$177,"Directrices EBA",Auditoria_ECG0!$H$2:$H$177,"C",Auditoria_ECG0!$F$2:$F$177,"&lt;&gt;Futura*",Auditoria_ECG0!$F$2:$F$177,"&lt;&gt;*periodo transitorio*")&gt;0,"C",IF(COUNTIFS(Codificacion!$AH$2:$AH$177,1,Codificacion!$B$2:$B$177,"Directrices EBA",Auditoria_ECG0!$H$2:$H$177,"G",Auditoria_ECG0!$F$2:$F$177,"&lt;&gt;Futura*",Auditoria_ECG0!$F$2:$F$177,"&lt;&gt;*periodo transitorio*")&gt;0,"G","0")))</f>
        <v>E</v>
      </c>
      <c r="F9" s="17" t="str">
        <f aca="false">IF(COUNTIFS(Codificacion!$AH$2:$AH$177,1,Codificacion!$B$2:$B$177,"RGPD",Auditoria_ECG0!$H$2:$H$177,"E",Auditoria_ECG0!$F$2:$F$177,"&lt;&gt;Futura*",Auditoria_ECG0!$F$2:$F$177,"&lt;&gt;*periodo transitorio*")&gt;0,"E",IF(COUNTIFS(Codificacion!$AH$2:$AH$177,1,Codificacion!$B$2:$B$177,"RGPD",Auditoria_ECG0!$H$2:$H$177,"C",Auditoria_ECG0!$F$2:$F$177,"&lt;&gt;Futura*",Auditoria_ECG0!$F$2:$F$177,"&lt;&gt;*periodo transitorio*")&gt;0,"C",IF(COUNTIFS(Codificacion!$AH$2:$AH$177,1,Codificacion!$B$2:$B$177,"RGPD",Auditoria_ECG0!$H$2:$H$177,"G",Auditoria_ECG0!$F$2:$F$177,"&lt;&gt;Futura*",Auditoria_ECG0!$F$2:$F$177,"&lt;&gt;*periodo transitorio*")&gt;0,"G","0")))</f>
        <v>0</v>
      </c>
      <c r="G9" s="17" t="str">
        <f aca="false">IF(COUNTIFS(Codificacion!$AH$2:$AH$177,1,Codificacion!$B$2:$B$177,"AI Act",Auditoria_ECG0!$H$2:$H$177,"E",Auditoria_ECG0!$F$2:$F$177,"&lt;&gt;Futura*",Auditoria_ECG0!$F$2:$F$177,"&lt;&gt;*periodo transitorio*")&gt;0,"E",IF(COUNTIFS(Codificacion!$AH$2:$AH$177,1,Codificacion!$B$2:$B$177,"AI Act",Auditoria_ECG0!$H$2:$H$177,"C",Auditoria_ECG0!$F$2:$F$177,"&lt;&gt;Futura*",Auditoria_ECG0!$F$2:$F$177,"&lt;&gt;*periodo transitorio*")&gt;0,"C",IF(COUNTIFS(Codificacion!$AH$2:$AH$177,1,Codificacion!$B$2:$B$177,"AI Act",Auditoria_ECG0!$H$2:$H$177,"G",Auditoria_ECG0!$F$2:$F$177,"&lt;&gt;Futura*",Auditoria_ECG0!$F$2:$F$177,"&lt;&gt;*periodo transitorio*")&gt;0,"G","0")))</f>
        <v>0</v>
      </c>
      <c r="H9" s="17" t="str">
        <f aca="false">IF(COUNTIFS(Codificacion!$AH$2:$AH$177,1,Codificacion!$B$2:$B$177,"DORA",Auditoria_ECG0!$H$2:$H$177,"E",Auditoria_ECG0!$F$2:$F$177,"&lt;&gt;Futura*",Auditoria_ECG0!$F$2:$F$177,"&lt;&gt;*periodo transitorio*")&gt;0,"E",IF(COUNTIFS(Codificacion!$AH$2:$AH$177,1,Codificacion!$B$2:$B$177,"DORA",Auditoria_ECG0!$H$2:$H$177,"C",Auditoria_ECG0!$F$2:$F$177,"&lt;&gt;Futura*",Auditoria_ECG0!$F$2:$F$177,"&lt;&gt;*periodo transitorio*")&gt;0,"C",IF(COUNTIFS(Codificacion!$AH$2:$AH$177,1,Codificacion!$B$2:$B$177,"DORA",Auditoria_ECG0!$H$2:$H$177,"G",Auditoria_ECG0!$F$2:$F$177,"&lt;&gt;Futura*",Auditoria_ECG0!$F$2:$F$177,"&lt;&gt;*periodo transitorio*")&gt;0,"G","0")))</f>
        <v>0</v>
      </c>
      <c r="I9" s="17" t="str">
        <f aca="false">IF(COUNTIFS(Codificacion!$AH$2:$AH$177,1,Codificacion!$B$2:$B$177,"eIDAS 2",Auditoria_ECG0!$H$2:$H$177,"E",Auditoria_ECG0!$F$2:$F$177,"&lt;&gt;Futura*",Auditoria_ECG0!$F$2:$F$177,"&lt;&gt;*periodo transitorio*")&gt;0,"E",IF(COUNTIFS(Codificacion!$AH$2:$AH$177,1,Codificacion!$B$2:$B$177,"eIDAS 2",Auditoria_ECG0!$H$2:$H$177,"C",Auditoria_ECG0!$F$2:$F$177,"&lt;&gt;Futura*",Auditoria_ECG0!$F$2:$F$177,"&lt;&gt;*periodo transitorio*")&gt;0,"C",IF(COUNTIFS(Codificacion!$AH$2:$AH$177,1,Codificacion!$B$2:$B$177,"eIDAS 2",Auditoria_ECG0!$H$2:$H$177,"G",Auditoria_ECG0!$F$2:$F$177,"&lt;&gt;Futura*",Auditoria_ECG0!$F$2:$F$177,"&lt;&gt;*periodo transitorio*")&gt;0,"G","0")))</f>
        <v>0</v>
      </c>
      <c r="J9" s="17" t="str">
        <f aca="false">IF(COUNTIFS(Codificacion!$AH$2:$AH$177,1,Codificacion!$B$2:$B$177,"Accesibilidad",Auditoria_ECG0!$H$2:$H$177,"E",Auditoria_ECG0!$F$2:$F$177,"&lt;&gt;Futura*",Auditoria_ECG0!$F$2:$F$177,"&lt;&gt;*periodo transitorio*")&gt;0,"E",IF(COUNTIFS(Codificacion!$AH$2:$AH$177,1,Codificacion!$B$2:$B$177,"Accesibilidad",Auditoria_ECG0!$H$2:$H$177,"C",Auditoria_ECG0!$F$2:$F$177,"&lt;&gt;Futura*",Auditoria_ECG0!$F$2:$F$177,"&lt;&gt;*periodo transitorio*")&gt;0,"C",IF(COUNTIFS(Codificacion!$AH$2:$AH$177,1,Codificacion!$B$2:$B$177,"Accesibilidad",Auditoria_ECG0!$H$2:$H$177,"G",Auditoria_ECG0!$F$2:$F$177,"&lt;&gt;Futura*",Auditoria_ECG0!$F$2:$F$177,"&lt;&gt;*periodo transitorio*")&gt;0,"G","0")))</f>
        <v>0</v>
      </c>
      <c r="K9" s="17" t="str">
        <f aca="false">IF(COUNTIFS(Codificacion!$AH$2:$AH$177,1,Codificacion!$B$2:$B$177,"Atención al cliente ES",Auditoria_ECG0!$H$2:$H$177,"E",Auditoria_ECG0!$F$2:$F$177,"&lt;&gt;Futura*",Auditoria_ECG0!$F$2:$F$177,"&lt;&gt;*periodo transitorio*")&gt;0,"E",IF(COUNTIFS(Codificacion!$AH$2:$AH$177,1,Codificacion!$B$2:$B$177,"Atención al cliente ES",Auditoria_ECG0!$H$2:$H$177,"C",Auditoria_ECG0!$F$2:$F$177,"&lt;&gt;Futura*",Auditoria_ECG0!$F$2:$F$177,"&lt;&gt;*periodo transitorio*")&gt;0,"C",IF(COUNTIFS(Codificacion!$AH$2:$AH$177,1,Codificacion!$B$2:$B$177,"Atención al cliente ES",Auditoria_ECG0!$H$2:$H$177,"G",Auditoria_ECG0!$F$2:$F$177,"&lt;&gt;Futura*",Auditoria_ECG0!$F$2:$F$177,"&lt;&gt;*periodo transitorio*")&gt;0,"G","0")))</f>
        <v>0</v>
      </c>
    </row>
    <row r="10" customFormat="false" ht="15" hidden="false" customHeight="true" outlineLevel="0" collapsed="false">
      <c r="A10" s="8" t="s">
        <v>186</v>
      </c>
      <c r="B10" s="10" t="s">
        <v>149</v>
      </c>
      <c r="C10" s="17" t="str">
        <f aca="false">IF(COUNTIFS(Codificacion!$AI$2:$AI$177,1,Codificacion!$B$2:$B$177,"Cuenta básica",Auditoria_ECG0!$H$2:$H$177,"E",Auditoria_ECG0!$F$2:$F$177,"&lt;&gt;Futura*",Auditoria_ECG0!$F$2:$F$177,"&lt;&gt;*periodo transitorio*")&gt;0,"E",IF(COUNTIFS(Codificacion!$AI$2:$AI$177,1,Codificacion!$B$2:$B$177,"Cuenta básica",Auditoria_ECG0!$H$2:$H$177,"C",Auditoria_ECG0!$F$2:$F$177,"&lt;&gt;Futura*",Auditoria_ECG0!$F$2:$F$177,"&lt;&gt;*periodo transitorio*")&gt;0,"C",IF(COUNTIFS(Codificacion!$AI$2:$AI$177,1,Codificacion!$B$2:$B$177,"Cuenta básica",Auditoria_ECG0!$H$2:$H$177,"G",Auditoria_ECG0!$F$2:$F$177,"&lt;&gt;Futura*",Auditoria_ECG0!$F$2:$F$177,"&lt;&gt;*periodo transitorio*")&gt;0,"G","0")))</f>
        <v>C</v>
      </c>
      <c r="D10" s="17" t="str">
        <f aca="false">IF(COUNTIFS(Codificacion!$AI$2:$AI$177,1,Codificacion!$B$2:$B$177,"AML",Auditoria_ECG0!$H$2:$H$177,"E",Auditoria_ECG0!$F$2:$F$177,"&lt;&gt;Futura*",Auditoria_ECG0!$F$2:$F$177,"&lt;&gt;*periodo transitorio*")&gt;0,"E",IF(COUNTIFS(Codificacion!$AI$2:$AI$177,1,Codificacion!$B$2:$B$177,"AML",Auditoria_ECG0!$H$2:$H$177,"C",Auditoria_ECG0!$F$2:$F$177,"&lt;&gt;Futura*",Auditoria_ECG0!$F$2:$F$177,"&lt;&gt;*periodo transitorio*")&gt;0,"C",IF(COUNTIFS(Codificacion!$AI$2:$AI$177,1,Codificacion!$B$2:$B$177,"AML",Auditoria_ECG0!$H$2:$H$177,"G",Auditoria_ECG0!$F$2:$F$177,"&lt;&gt;Futura*",Auditoria_ECG0!$F$2:$F$177,"&lt;&gt;*periodo transitorio*")&gt;0,"G","0")))</f>
        <v>E</v>
      </c>
      <c r="E10" s="17" t="str">
        <f aca="false">IF(COUNTIFS(Codificacion!$AI$2:$AI$177,1,Codificacion!$B$2:$B$177,"Directrices EBA",Auditoria_ECG0!$H$2:$H$177,"E",Auditoria_ECG0!$F$2:$F$177,"&lt;&gt;Futura*",Auditoria_ECG0!$F$2:$F$177,"&lt;&gt;*periodo transitorio*")&gt;0,"E",IF(COUNTIFS(Codificacion!$AI$2:$AI$177,1,Codificacion!$B$2:$B$177,"Directrices EBA",Auditoria_ECG0!$H$2:$H$177,"C",Auditoria_ECG0!$F$2:$F$177,"&lt;&gt;Futura*",Auditoria_ECG0!$F$2:$F$177,"&lt;&gt;*periodo transitorio*")&gt;0,"C",IF(COUNTIFS(Codificacion!$AI$2:$AI$177,1,Codificacion!$B$2:$B$177,"Directrices EBA",Auditoria_ECG0!$H$2:$H$177,"G",Auditoria_ECG0!$F$2:$F$177,"&lt;&gt;Futura*",Auditoria_ECG0!$F$2:$F$177,"&lt;&gt;*periodo transitorio*")&gt;0,"G","0")))</f>
        <v>E</v>
      </c>
      <c r="F10" s="17" t="str">
        <f aca="false">IF(COUNTIFS(Codificacion!$AI$2:$AI$177,1,Codificacion!$B$2:$B$177,"RGPD",Auditoria_ECG0!$H$2:$H$177,"E",Auditoria_ECG0!$F$2:$F$177,"&lt;&gt;Futura*",Auditoria_ECG0!$F$2:$F$177,"&lt;&gt;*periodo transitorio*")&gt;0,"E",IF(COUNTIFS(Codificacion!$AI$2:$AI$177,1,Codificacion!$B$2:$B$177,"RGPD",Auditoria_ECG0!$H$2:$H$177,"C",Auditoria_ECG0!$F$2:$F$177,"&lt;&gt;Futura*",Auditoria_ECG0!$F$2:$F$177,"&lt;&gt;*periodo transitorio*")&gt;0,"C",IF(COUNTIFS(Codificacion!$AI$2:$AI$177,1,Codificacion!$B$2:$B$177,"RGPD",Auditoria_ECG0!$H$2:$H$177,"G",Auditoria_ECG0!$F$2:$F$177,"&lt;&gt;Futura*",Auditoria_ECG0!$F$2:$F$177,"&lt;&gt;*periodo transitorio*")&gt;0,"G","0")))</f>
        <v>0</v>
      </c>
      <c r="G10" s="17" t="str">
        <f aca="false">IF(COUNTIFS(Codificacion!$AI$2:$AI$177,1,Codificacion!$B$2:$B$177,"AI Act",Auditoria_ECG0!$H$2:$H$177,"E",Auditoria_ECG0!$F$2:$F$177,"&lt;&gt;Futura*",Auditoria_ECG0!$F$2:$F$177,"&lt;&gt;*periodo transitorio*")&gt;0,"E",IF(COUNTIFS(Codificacion!$AI$2:$AI$177,1,Codificacion!$B$2:$B$177,"AI Act",Auditoria_ECG0!$H$2:$H$177,"C",Auditoria_ECG0!$F$2:$F$177,"&lt;&gt;Futura*",Auditoria_ECG0!$F$2:$F$177,"&lt;&gt;*periodo transitorio*")&gt;0,"C",IF(COUNTIFS(Codificacion!$AI$2:$AI$177,1,Codificacion!$B$2:$B$177,"AI Act",Auditoria_ECG0!$H$2:$H$177,"G",Auditoria_ECG0!$F$2:$F$177,"&lt;&gt;Futura*",Auditoria_ECG0!$F$2:$F$177,"&lt;&gt;*periodo transitorio*")&gt;0,"G","0")))</f>
        <v>0</v>
      </c>
      <c r="H10" s="17" t="str">
        <f aca="false">IF(COUNTIFS(Codificacion!$AI$2:$AI$177,1,Codificacion!$B$2:$B$177,"DORA",Auditoria_ECG0!$H$2:$H$177,"E",Auditoria_ECG0!$F$2:$F$177,"&lt;&gt;Futura*",Auditoria_ECG0!$F$2:$F$177,"&lt;&gt;*periodo transitorio*")&gt;0,"E",IF(COUNTIFS(Codificacion!$AI$2:$AI$177,1,Codificacion!$B$2:$B$177,"DORA",Auditoria_ECG0!$H$2:$H$177,"C",Auditoria_ECG0!$F$2:$F$177,"&lt;&gt;Futura*",Auditoria_ECG0!$F$2:$F$177,"&lt;&gt;*periodo transitorio*")&gt;0,"C",IF(COUNTIFS(Codificacion!$AI$2:$AI$177,1,Codificacion!$B$2:$B$177,"DORA",Auditoria_ECG0!$H$2:$H$177,"G",Auditoria_ECG0!$F$2:$F$177,"&lt;&gt;Futura*",Auditoria_ECG0!$F$2:$F$177,"&lt;&gt;*periodo transitorio*")&gt;0,"G","0")))</f>
        <v>0</v>
      </c>
      <c r="I10" s="17" t="str">
        <f aca="false">IF(COUNTIFS(Codificacion!$AI$2:$AI$177,1,Codificacion!$B$2:$B$177,"eIDAS 2",Auditoria_ECG0!$H$2:$H$177,"E",Auditoria_ECG0!$F$2:$F$177,"&lt;&gt;Futura*",Auditoria_ECG0!$F$2:$F$177,"&lt;&gt;*periodo transitorio*")&gt;0,"E",IF(COUNTIFS(Codificacion!$AI$2:$AI$177,1,Codificacion!$B$2:$B$177,"eIDAS 2",Auditoria_ECG0!$H$2:$H$177,"C",Auditoria_ECG0!$F$2:$F$177,"&lt;&gt;Futura*",Auditoria_ECG0!$F$2:$F$177,"&lt;&gt;*periodo transitorio*")&gt;0,"C",IF(COUNTIFS(Codificacion!$AI$2:$AI$177,1,Codificacion!$B$2:$B$177,"eIDAS 2",Auditoria_ECG0!$H$2:$H$177,"G",Auditoria_ECG0!$F$2:$F$177,"&lt;&gt;Futura*",Auditoria_ECG0!$F$2:$F$177,"&lt;&gt;*periodo transitorio*")&gt;0,"G","0")))</f>
        <v>0</v>
      </c>
      <c r="J10" s="17" t="str">
        <f aca="false">IF(COUNTIFS(Codificacion!$AI$2:$AI$177,1,Codificacion!$B$2:$B$177,"Accesibilidad",Auditoria_ECG0!$H$2:$H$177,"E",Auditoria_ECG0!$F$2:$F$177,"&lt;&gt;Futura*",Auditoria_ECG0!$F$2:$F$177,"&lt;&gt;*periodo transitorio*")&gt;0,"E",IF(COUNTIFS(Codificacion!$AI$2:$AI$177,1,Codificacion!$B$2:$B$177,"Accesibilidad",Auditoria_ECG0!$H$2:$H$177,"C",Auditoria_ECG0!$F$2:$F$177,"&lt;&gt;Futura*",Auditoria_ECG0!$F$2:$F$177,"&lt;&gt;*periodo transitorio*")&gt;0,"C",IF(COUNTIFS(Codificacion!$AI$2:$AI$177,1,Codificacion!$B$2:$B$177,"Accesibilidad",Auditoria_ECG0!$H$2:$H$177,"G",Auditoria_ECG0!$F$2:$F$177,"&lt;&gt;Futura*",Auditoria_ECG0!$F$2:$F$177,"&lt;&gt;*periodo transitorio*")&gt;0,"G","0")))</f>
        <v>0</v>
      </c>
      <c r="K10" s="17" t="str">
        <f aca="false">IF(COUNTIFS(Codificacion!$AI$2:$AI$177,1,Codificacion!$B$2:$B$177,"Atención al cliente ES",Auditoria_ECG0!$H$2:$H$177,"E",Auditoria_ECG0!$F$2:$F$177,"&lt;&gt;Futura*",Auditoria_ECG0!$F$2:$F$177,"&lt;&gt;*periodo transitorio*")&gt;0,"E",IF(COUNTIFS(Codificacion!$AI$2:$AI$177,1,Codificacion!$B$2:$B$177,"Atención al cliente ES",Auditoria_ECG0!$H$2:$H$177,"C",Auditoria_ECG0!$F$2:$F$177,"&lt;&gt;Futura*",Auditoria_ECG0!$F$2:$F$177,"&lt;&gt;*periodo transitorio*")&gt;0,"C",IF(COUNTIFS(Codificacion!$AI$2:$AI$177,1,Codificacion!$B$2:$B$177,"Atención al cliente ES",Auditoria_ECG0!$H$2:$H$177,"G",Auditoria_ECG0!$F$2:$F$177,"&lt;&gt;Futura*",Auditoria_ECG0!$F$2:$F$177,"&lt;&gt;*periodo transitorio*")&gt;0,"G","0")))</f>
        <v>0</v>
      </c>
    </row>
    <row r="11" customFormat="false" ht="15" hidden="false" customHeight="true" outlineLevel="0" collapsed="false">
      <c r="A11" s="8" t="s">
        <v>187</v>
      </c>
      <c r="B11" s="10" t="s">
        <v>1059</v>
      </c>
      <c r="C11" s="17" t="str">
        <f aca="false">IF(COUNTIFS(Codificacion!$AJ$2:$AJ$177,1,Codificacion!$B$2:$B$177,"Cuenta básica",Auditoria_ECG0!$H$2:$H$177,"E",Auditoria_ECG0!$F$2:$F$177,"&lt;&gt;Futura*",Auditoria_ECG0!$F$2:$F$177,"&lt;&gt;*periodo transitorio*")&gt;0,"E",IF(COUNTIFS(Codificacion!$AJ$2:$AJ$177,1,Codificacion!$B$2:$B$177,"Cuenta básica",Auditoria_ECG0!$H$2:$H$177,"C",Auditoria_ECG0!$F$2:$F$177,"&lt;&gt;Futura*",Auditoria_ECG0!$F$2:$F$177,"&lt;&gt;*periodo transitorio*")&gt;0,"C",IF(COUNTIFS(Codificacion!$AJ$2:$AJ$177,1,Codificacion!$B$2:$B$177,"Cuenta básica",Auditoria_ECG0!$H$2:$H$177,"G",Auditoria_ECG0!$F$2:$F$177,"&lt;&gt;Futura*",Auditoria_ECG0!$F$2:$F$177,"&lt;&gt;*periodo transitorio*")&gt;0,"G","0")))</f>
        <v>0</v>
      </c>
      <c r="D11" s="17" t="str">
        <f aca="false">IF(COUNTIFS(Codificacion!$AJ$2:$AJ$177,1,Codificacion!$B$2:$B$177,"AML",Auditoria_ECG0!$H$2:$H$177,"E",Auditoria_ECG0!$F$2:$F$177,"&lt;&gt;Futura*",Auditoria_ECG0!$F$2:$F$177,"&lt;&gt;*periodo transitorio*")&gt;0,"E",IF(COUNTIFS(Codificacion!$AJ$2:$AJ$177,1,Codificacion!$B$2:$B$177,"AML",Auditoria_ECG0!$H$2:$H$177,"C",Auditoria_ECG0!$F$2:$F$177,"&lt;&gt;Futura*",Auditoria_ECG0!$F$2:$F$177,"&lt;&gt;*periodo transitorio*")&gt;0,"C",IF(COUNTIFS(Codificacion!$AJ$2:$AJ$177,1,Codificacion!$B$2:$B$177,"AML",Auditoria_ECG0!$H$2:$H$177,"G",Auditoria_ECG0!$F$2:$F$177,"&lt;&gt;Futura*",Auditoria_ECG0!$F$2:$F$177,"&lt;&gt;*periodo transitorio*")&gt;0,"G","0")))</f>
        <v>C</v>
      </c>
      <c r="E11" s="17" t="str">
        <f aca="false">IF(COUNTIFS(Codificacion!$AJ$2:$AJ$177,1,Codificacion!$B$2:$B$177,"Directrices EBA",Auditoria_ECG0!$H$2:$H$177,"E",Auditoria_ECG0!$F$2:$F$177,"&lt;&gt;Futura*",Auditoria_ECG0!$F$2:$F$177,"&lt;&gt;*periodo transitorio*")&gt;0,"E",IF(COUNTIFS(Codificacion!$AJ$2:$AJ$177,1,Codificacion!$B$2:$B$177,"Directrices EBA",Auditoria_ECG0!$H$2:$H$177,"C",Auditoria_ECG0!$F$2:$F$177,"&lt;&gt;Futura*",Auditoria_ECG0!$F$2:$F$177,"&lt;&gt;*periodo transitorio*")&gt;0,"C",IF(COUNTIFS(Codificacion!$AJ$2:$AJ$177,1,Codificacion!$B$2:$B$177,"Directrices EBA",Auditoria_ECG0!$H$2:$H$177,"G",Auditoria_ECG0!$F$2:$F$177,"&lt;&gt;Futura*",Auditoria_ECG0!$F$2:$F$177,"&lt;&gt;*periodo transitorio*")&gt;0,"G","0")))</f>
        <v>C</v>
      </c>
      <c r="F11" s="17" t="str">
        <f aca="false">IF(COUNTIFS(Codificacion!$AJ$2:$AJ$177,1,Codificacion!$B$2:$B$177,"RGPD",Auditoria_ECG0!$H$2:$H$177,"E",Auditoria_ECG0!$F$2:$F$177,"&lt;&gt;Futura*",Auditoria_ECG0!$F$2:$F$177,"&lt;&gt;*periodo transitorio*")&gt;0,"E",IF(COUNTIFS(Codificacion!$AJ$2:$AJ$177,1,Codificacion!$B$2:$B$177,"RGPD",Auditoria_ECG0!$H$2:$H$177,"C",Auditoria_ECG0!$F$2:$F$177,"&lt;&gt;Futura*",Auditoria_ECG0!$F$2:$F$177,"&lt;&gt;*periodo transitorio*")&gt;0,"C",IF(COUNTIFS(Codificacion!$AJ$2:$AJ$177,1,Codificacion!$B$2:$B$177,"RGPD",Auditoria_ECG0!$H$2:$H$177,"G",Auditoria_ECG0!$F$2:$F$177,"&lt;&gt;Futura*",Auditoria_ECG0!$F$2:$F$177,"&lt;&gt;*periodo transitorio*")&gt;0,"G","0")))</f>
        <v>G</v>
      </c>
      <c r="G11" s="17" t="str">
        <f aca="false">IF(COUNTIFS(Codificacion!$AJ$2:$AJ$177,1,Codificacion!$B$2:$B$177,"AI Act",Auditoria_ECG0!$H$2:$H$177,"E",Auditoria_ECG0!$F$2:$F$177,"&lt;&gt;Futura*",Auditoria_ECG0!$F$2:$F$177,"&lt;&gt;*periodo transitorio*")&gt;0,"E",IF(COUNTIFS(Codificacion!$AJ$2:$AJ$177,1,Codificacion!$B$2:$B$177,"AI Act",Auditoria_ECG0!$H$2:$H$177,"C",Auditoria_ECG0!$F$2:$F$177,"&lt;&gt;Futura*",Auditoria_ECG0!$F$2:$F$177,"&lt;&gt;*periodo transitorio*")&gt;0,"C",IF(COUNTIFS(Codificacion!$AJ$2:$AJ$177,1,Codificacion!$B$2:$B$177,"AI Act",Auditoria_ECG0!$H$2:$H$177,"G",Auditoria_ECG0!$F$2:$F$177,"&lt;&gt;Futura*",Auditoria_ECG0!$F$2:$F$177,"&lt;&gt;*periodo transitorio*")&gt;0,"G","0")))</f>
        <v>0</v>
      </c>
      <c r="H11" s="17" t="str">
        <f aca="false">IF(COUNTIFS(Codificacion!$AJ$2:$AJ$177,1,Codificacion!$B$2:$B$177,"DORA",Auditoria_ECG0!$H$2:$H$177,"E",Auditoria_ECG0!$F$2:$F$177,"&lt;&gt;Futura*",Auditoria_ECG0!$F$2:$F$177,"&lt;&gt;*periodo transitorio*")&gt;0,"E",IF(COUNTIFS(Codificacion!$AJ$2:$AJ$177,1,Codificacion!$B$2:$B$177,"DORA",Auditoria_ECG0!$H$2:$H$177,"C",Auditoria_ECG0!$F$2:$F$177,"&lt;&gt;Futura*",Auditoria_ECG0!$F$2:$F$177,"&lt;&gt;*periodo transitorio*")&gt;0,"C",IF(COUNTIFS(Codificacion!$AJ$2:$AJ$177,1,Codificacion!$B$2:$B$177,"DORA",Auditoria_ECG0!$H$2:$H$177,"G",Auditoria_ECG0!$F$2:$F$177,"&lt;&gt;Futura*",Auditoria_ECG0!$F$2:$F$177,"&lt;&gt;*periodo transitorio*")&gt;0,"G","0")))</f>
        <v>0</v>
      </c>
      <c r="I11" s="17" t="str">
        <f aca="false">IF(COUNTIFS(Codificacion!$AJ$2:$AJ$177,1,Codificacion!$B$2:$B$177,"eIDAS 2",Auditoria_ECG0!$H$2:$H$177,"E",Auditoria_ECG0!$F$2:$F$177,"&lt;&gt;Futura*",Auditoria_ECG0!$F$2:$F$177,"&lt;&gt;*periodo transitorio*")&gt;0,"E",IF(COUNTIFS(Codificacion!$AJ$2:$AJ$177,1,Codificacion!$B$2:$B$177,"eIDAS 2",Auditoria_ECG0!$H$2:$H$177,"C",Auditoria_ECG0!$F$2:$F$177,"&lt;&gt;Futura*",Auditoria_ECG0!$F$2:$F$177,"&lt;&gt;*periodo transitorio*")&gt;0,"C",IF(COUNTIFS(Codificacion!$AJ$2:$AJ$177,1,Codificacion!$B$2:$B$177,"eIDAS 2",Auditoria_ECG0!$H$2:$H$177,"G",Auditoria_ECG0!$F$2:$F$177,"&lt;&gt;Futura*",Auditoria_ECG0!$F$2:$F$177,"&lt;&gt;*periodo transitorio*")&gt;0,"G","0")))</f>
        <v>0</v>
      </c>
      <c r="J11" s="17" t="str">
        <f aca="false">IF(COUNTIFS(Codificacion!$AJ$2:$AJ$177,1,Codificacion!$B$2:$B$177,"Accesibilidad",Auditoria_ECG0!$H$2:$H$177,"E",Auditoria_ECG0!$F$2:$F$177,"&lt;&gt;Futura*",Auditoria_ECG0!$F$2:$F$177,"&lt;&gt;*periodo transitorio*")&gt;0,"E",IF(COUNTIFS(Codificacion!$AJ$2:$AJ$177,1,Codificacion!$B$2:$B$177,"Accesibilidad",Auditoria_ECG0!$H$2:$H$177,"C",Auditoria_ECG0!$F$2:$F$177,"&lt;&gt;Futura*",Auditoria_ECG0!$F$2:$F$177,"&lt;&gt;*periodo transitorio*")&gt;0,"C",IF(COUNTIFS(Codificacion!$AJ$2:$AJ$177,1,Codificacion!$B$2:$B$177,"Accesibilidad",Auditoria_ECG0!$H$2:$H$177,"G",Auditoria_ECG0!$F$2:$F$177,"&lt;&gt;Futura*",Auditoria_ECG0!$F$2:$F$177,"&lt;&gt;*periodo transitorio*")&gt;0,"G","0")))</f>
        <v>0</v>
      </c>
      <c r="K11" s="17" t="str">
        <f aca="false">IF(COUNTIFS(Codificacion!$AJ$2:$AJ$177,1,Codificacion!$B$2:$B$177,"Atención al cliente ES",Auditoria_ECG0!$H$2:$H$177,"E",Auditoria_ECG0!$F$2:$F$177,"&lt;&gt;Futura*",Auditoria_ECG0!$F$2:$F$177,"&lt;&gt;*periodo transitorio*")&gt;0,"E",IF(COUNTIFS(Codificacion!$AJ$2:$AJ$177,1,Codificacion!$B$2:$B$177,"Atención al cliente ES",Auditoria_ECG0!$H$2:$H$177,"C",Auditoria_ECG0!$F$2:$F$177,"&lt;&gt;Futura*",Auditoria_ECG0!$F$2:$F$177,"&lt;&gt;*periodo transitorio*")&gt;0,"C",IF(COUNTIFS(Codificacion!$AJ$2:$AJ$177,1,Codificacion!$B$2:$B$177,"Atención al cliente ES",Auditoria_ECG0!$H$2:$H$177,"G",Auditoria_ECG0!$F$2:$F$177,"&lt;&gt;Futura*",Auditoria_ECG0!$F$2:$F$177,"&lt;&gt;*periodo transitorio*")&gt;0,"G","0")))</f>
        <v>0</v>
      </c>
    </row>
    <row r="12" customFormat="false" ht="15" hidden="false" customHeight="true" outlineLevel="0" collapsed="false">
      <c r="A12" s="8" t="s">
        <v>188</v>
      </c>
      <c r="B12" s="10" t="s">
        <v>1060</v>
      </c>
      <c r="C12" s="17" t="str">
        <f aca="false">IF(COUNTIFS(Codificacion!$AK$2:$AK$177,1,Codificacion!$B$2:$B$177,"Cuenta básica",Auditoria_ECG0!$H$2:$H$177,"E",Auditoria_ECG0!$F$2:$F$177,"&lt;&gt;Futura*",Auditoria_ECG0!$F$2:$F$177,"&lt;&gt;*periodo transitorio*")&gt;0,"E",IF(COUNTIFS(Codificacion!$AK$2:$AK$177,1,Codificacion!$B$2:$B$177,"Cuenta básica",Auditoria_ECG0!$H$2:$H$177,"C",Auditoria_ECG0!$F$2:$F$177,"&lt;&gt;Futura*",Auditoria_ECG0!$F$2:$F$177,"&lt;&gt;*periodo transitorio*")&gt;0,"C",IF(COUNTIFS(Codificacion!$AK$2:$AK$177,1,Codificacion!$B$2:$B$177,"Cuenta básica",Auditoria_ECG0!$H$2:$H$177,"G",Auditoria_ECG0!$F$2:$F$177,"&lt;&gt;Futura*",Auditoria_ECG0!$F$2:$F$177,"&lt;&gt;*periodo transitorio*")&gt;0,"G","0")))</f>
        <v>C</v>
      </c>
      <c r="D12" s="17" t="str">
        <f aca="false">IF(COUNTIFS(Codificacion!$AK$2:$AK$177,1,Codificacion!$B$2:$B$177,"AML",Auditoria_ECG0!$H$2:$H$177,"E",Auditoria_ECG0!$F$2:$F$177,"&lt;&gt;Futura*",Auditoria_ECG0!$F$2:$F$177,"&lt;&gt;*periodo transitorio*")&gt;0,"E",IF(COUNTIFS(Codificacion!$AK$2:$AK$177,1,Codificacion!$B$2:$B$177,"AML",Auditoria_ECG0!$H$2:$H$177,"C",Auditoria_ECG0!$F$2:$F$177,"&lt;&gt;Futura*",Auditoria_ECG0!$F$2:$F$177,"&lt;&gt;*periodo transitorio*")&gt;0,"C",IF(COUNTIFS(Codificacion!$AK$2:$AK$177,1,Codificacion!$B$2:$B$177,"AML",Auditoria_ECG0!$H$2:$H$177,"G",Auditoria_ECG0!$F$2:$F$177,"&lt;&gt;Futura*",Auditoria_ECG0!$F$2:$F$177,"&lt;&gt;*periodo transitorio*")&gt;0,"G","0")))</f>
        <v>C</v>
      </c>
      <c r="E12" s="17" t="str">
        <f aca="false">IF(COUNTIFS(Codificacion!$AK$2:$AK$177,1,Codificacion!$B$2:$B$177,"Directrices EBA",Auditoria_ECG0!$H$2:$H$177,"E",Auditoria_ECG0!$F$2:$F$177,"&lt;&gt;Futura*",Auditoria_ECG0!$F$2:$F$177,"&lt;&gt;*periodo transitorio*")&gt;0,"E",IF(COUNTIFS(Codificacion!$AK$2:$AK$177,1,Codificacion!$B$2:$B$177,"Directrices EBA",Auditoria_ECG0!$H$2:$H$177,"C",Auditoria_ECG0!$F$2:$F$177,"&lt;&gt;Futura*",Auditoria_ECG0!$F$2:$F$177,"&lt;&gt;*periodo transitorio*")&gt;0,"C",IF(COUNTIFS(Codificacion!$AK$2:$AK$177,1,Codificacion!$B$2:$B$177,"Directrices EBA",Auditoria_ECG0!$H$2:$H$177,"G",Auditoria_ECG0!$F$2:$F$177,"&lt;&gt;Futura*",Auditoria_ECG0!$F$2:$F$177,"&lt;&gt;*periodo transitorio*")&gt;0,"G","0")))</f>
        <v>0</v>
      </c>
      <c r="F12" s="17" t="str">
        <f aca="false">IF(COUNTIFS(Codificacion!$AK$2:$AK$177,1,Codificacion!$B$2:$B$177,"RGPD",Auditoria_ECG0!$H$2:$H$177,"E",Auditoria_ECG0!$F$2:$F$177,"&lt;&gt;Futura*",Auditoria_ECG0!$F$2:$F$177,"&lt;&gt;*periodo transitorio*")&gt;0,"E",IF(COUNTIFS(Codificacion!$AK$2:$AK$177,1,Codificacion!$B$2:$B$177,"RGPD",Auditoria_ECG0!$H$2:$H$177,"C",Auditoria_ECG0!$F$2:$F$177,"&lt;&gt;Futura*",Auditoria_ECG0!$F$2:$F$177,"&lt;&gt;*periodo transitorio*")&gt;0,"C",IF(COUNTIFS(Codificacion!$AK$2:$AK$177,1,Codificacion!$B$2:$B$177,"RGPD",Auditoria_ECG0!$H$2:$H$177,"G",Auditoria_ECG0!$F$2:$F$177,"&lt;&gt;Futura*",Auditoria_ECG0!$F$2:$F$177,"&lt;&gt;*periodo transitorio*")&gt;0,"G","0")))</f>
        <v>0</v>
      </c>
      <c r="G12" s="17" t="str">
        <f aca="false">IF(COUNTIFS(Codificacion!$AK$2:$AK$177,1,Codificacion!$B$2:$B$177,"AI Act",Auditoria_ECG0!$H$2:$H$177,"E",Auditoria_ECG0!$F$2:$F$177,"&lt;&gt;Futura*",Auditoria_ECG0!$F$2:$F$177,"&lt;&gt;*periodo transitorio*")&gt;0,"E",IF(COUNTIFS(Codificacion!$AK$2:$AK$177,1,Codificacion!$B$2:$B$177,"AI Act",Auditoria_ECG0!$H$2:$H$177,"C",Auditoria_ECG0!$F$2:$F$177,"&lt;&gt;Futura*",Auditoria_ECG0!$F$2:$F$177,"&lt;&gt;*periodo transitorio*")&gt;0,"C",IF(COUNTIFS(Codificacion!$AK$2:$AK$177,1,Codificacion!$B$2:$B$177,"AI Act",Auditoria_ECG0!$H$2:$H$177,"G",Auditoria_ECG0!$F$2:$F$177,"&lt;&gt;Futura*",Auditoria_ECG0!$F$2:$F$177,"&lt;&gt;*periodo transitorio*")&gt;0,"G","0")))</f>
        <v>0</v>
      </c>
      <c r="H12" s="17" t="str">
        <f aca="false">IF(COUNTIFS(Codificacion!$AK$2:$AK$177,1,Codificacion!$B$2:$B$177,"DORA",Auditoria_ECG0!$H$2:$H$177,"E",Auditoria_ECG0!$F$2:$F$177,"&lt;&gt;Futura*",Auditoria_ECG0!$F$2:$F$177,"&lt;&gt;*periodo transitorio*")&gt;0,"E",IF(COUNTIFS(Codificacion!$AK$2:$AK$177,1,Codificacion!$B$2:$B$177,"DORA",Auditoria_ECG0!$H$2:$H$177,"C",Auditoria_ECG0!$F$2:$F$177,"&lt;&gt;Futura*",Auditoria_ECG0!$F$2:$F$177,"&lt;&gt;*periodo transitorio*")&gt;0,"C",IF(COUNTIFS(Codificacion!$AK$2:$AK$177,1,Codificacion!$B$2:$B$177,"DORA",Auditoria_ECG0!$H$2:$H$177,"G",Auditoria_ECG0!$F$2:$F$177,"&lt;&gt;Futura*",Auditoria_ECG0!$F$2:$F$177,"&lt;&gt;*periodo transitorio*")&gt;0,"G","0")))</f>
        <v>0</v>
      </c>
      <c r="I12" s="17" t="str">
        <f aca="false">IF(COUNTIFS(Codificacion!$AK$2:$AK$177,1,Codificacion!$B$2:$B$177,"eIDAS 2",Auditoria_ECG0!$H$2:$H$177,"E",Auditoria_ECG0!$F$2:$F$177,"&lt;&gt;Futura*",Auditoria_ECG0!$F$2:$F$177,"&lt;&gt;*periodo transitorio*")&gt;0,"E",IF(COUNTIFS(Codificacion!$AK$2:$AK$177,1,Codificacion!$B$2:$B$177,"eIDAS 2",Auditoria_ECG0!$H$2:$H$177,"C",Auditoria_ECG0!$F$2:$F$177,"&lt;&gt;Futura*",Auditoria_ECG0!$F$2:$F$177,"&lt;&gt;*periodo transitorio*")&gt;0,"C",IF(COUNTIFS(Codificacion!$AK$2:$AK$177,1,Codificacion!$B$2:$B$177,"eIDAS 2",Auditoria_ECG0!$H$2:$H$177,"G",Auditoria_ECG0!$F$2:$F$177,"&lt;&gt;Futura*",Auditoria_ECG0!$F$2:$F$177,"&lt;&gt;*periodo transitorio*")&gt;0,"G","0")))</f>
        <v>0</v>
      </c>
      <c r="J12" s="17" t="str">
        <f aca="false">IF(COUNTIFS(Codificacion!$AK$2:$AK$177,1,Codificacion!$B$2:$B$177,"Accesibilidad",Auditoria_ECG0!$H$2:$H$177,"E",Auditoria_ECG0!$F$2:$F$177,"&lt;&gt;Futura*",Auditoria_ECG0!$F$2:$F$177,"&lt;&gt;*periodo transitorio*")&gt;0,"E",IF(COUNTIFS(Codificacion!$AK$2:$AK$177,1,Codificacion!$B$2:$B$177,"Accesibilidad",Auditoria_ECG0!$H$2:$H$177,"C",Auditoria_ECG0!$F$2:$F$177,"&lt;&gt;Futura*",Auditoria_ECG0!$F$2:$F$177,"&lt;&gt;*periodo transitorio*")&gt;0,"C",IF(COUNTIFS(Codificacion!$AK$2:$AK$177,1,Codificacion!$B$2:$B$177,"Accesibilidad",Auditoria_ECG0!$H$2:$H$177,"G",Auditoria_ECG0!$F$2:$F$177,"&lt;&gt;Futura*",Auditoria_ECG0!$F$2:$F$177,"&lt;&gt;*periodo transitorio*")&gt;0,"G","0")))</f>
        <v>0</v>
      </c>
      <c r="K12" s="17" t="str">
        <f aca="false">IF(COUNTIFS(Codificacion!$AK$2:$AK$177,1,Codificacion!$B$2:$B$177,"Atención al cliente ES",Auditoria_ECG0!$H$2:$H$177,"E",Auditoria_ECG0!$F$2:$F$177,"&lt;&gt;Futura*",Auditoria_ECG0!$F$2:$F$177,"&lt;&gt;*periodo transitorio*")&gt;0,"E",IF(COUNTIFS(Codificacion!$AK$2:$AK$177,1,Codificacion!$B$2:$B$177,"Atención al cliente ES",Auditoria_ECG0!$H$2:$H$177,"C",Auditoria_ECG0!$F$2:$F$177,"&lt;&gt;Futura*",Auditoria_ECG0!$F$2:$F$177,"&lt;&gt;*periodo transitorio*")&gt;0,"C",IF(COUNTIFS(Codificacion!$AK$2:$AK$177,1,Codificacion!$B$2:$B$177,"Atención al cliente ES",Auditoria_ECG0!$H$2:$H$177,"G",Auditoria_ECG0!$F$2:$F$177,"&lt;&gt;Futura*",Auditoria_ECG0!$F$2:$F$177,"&lt;&gt;*periodo transitorio*")&gt;0,"G","0")))</f>
        <v>0</v>
      </c>
    </row>
    <row r="13" customFormat="false" ht="15" hidden="false" customHeight="true" outlineLevel="0" collapsed="false">
      <c r="A13" s="8" t="s">
        <v>189</v>
      </c>
      <c r="B13" s="10" t="s">
        <v>1061</v>
      </c>
      <c r="C13" s="17" t="str">
        <f aca="false">IF(COUNTIFS(Codificacion!$AL$2:$AL$177,1,Codificacion!$B$2:$B$177,"Cuenta básica",Auditoria_ECG0!$H$2:$H$177,"E",Auditoria_ECG0!$F$2:$F$177,"&lt;&gt;Futura*",Auditoria_ECG0!$F$2:$F$177,"&lt;&gt;*periodo transitorio*")&gt;0,"E",IF(COUNTIFS(Codificacion!$AL$2:$AL$177,1,Codificacion!$B$2:$B$177,"Cuenta básica",Auditoria_ECG0!$H$2:$H$177,"C",Auditoria_ECG0!$F$2:$F$177,"&lt;&gt;Futura*",Auditoria_ECG0!$F$2:$F$177,"&lt;&gt;*periodo transitorio*")&gt;0,"C",IF(COUNTIFS(Codificacion!$AL$2:$AL$177,1,Codificacion!$B$2:$B$177,"Cuenta básica",Auditoria_ECG0!$H$2:$H$177,"G",Auditoria_ECG0!$F$2:$F$177,"&lt;&gt;Futura*",Auditoria_ECG0!$F$2:$F$177,"&lt;&gt;*periodo transitorio*")&gt;0,"G","0")))</f>
        <v>0</v>
      </c>
      <c r="D13" s="17" t="str">
        <f aca="false">IF(COUNTIFS(Codificacion!$AL$2:$AL$177,1,Codificacion!$B$2:$B$177,"AML",Auditoria_ECG0!$H$2:$H$177,"E",Auditoria_ECG0!$F$2:$F$177,"&lt;&gt;Futura*",Auditoria_ECG0!$F$2:$F$177,"&lt;&gt;*periodo transitorio*")&gt;0,"E",IF(COUNTIFS(Codificacion!$AL$2:$AL$177,1,Codificacion!$B$2:$B$177,"AML",Auditoria_ECG0!$H$2:$H$177,"C",Auditoria_ECG0!$F$2:$F$177,"&lt;&gt;Futura*",Auditoria_ECG0!$F$2:$F$177,"&lt;&gt;*periodo transitorio*")&gt;0,"C",IF(COUNTIFS(Codificacion!$AL$2:$AL$177,1,Codificacion!$B$2:$B$177,"AML",Auditoria_ECG0!$H$2:$H$177,"G",Auditoria_ECG0!$F$2:$F$177,"&lt;&gt;Futura*",Auditoria_ECG0!$F$2:$F$177,"&lt;&gt;*periodo transitorio*")&gt;0,"G","0")))</f>
        <v>0</v>
      </c>
      <c r="E13" s="17" t="str">
        <f aca="false">IF(COUNTIFS(Codificacion!$AL$2:$AL$177,1,Codificacion!$B$2:$B$177,"Directrices EBA",Auditoria_ECG0!$H$2:$H$177,"E",Auditoria_ECG0!$F$2:$F$177,"&lt;&gt;Futura*",Auditoria_ECG0!$F$2:$F$177,"&lt;&gt;*periodo transitorio*")&gt;0,"E",IF(COUNTIFS(Codificacion!$AL$2:$AL$177,1,Codificacion!$B$2:$B$177,"Directrices EBA",Auditoria_ECG0!$H$2:$H$177,"C",Auditoria_ECG0!$F$2:$F$177,"&lt;&gt;Futura*",Auditoria_ECG0!$F$2:$F$177,"&lt;&gt;*periodo transitorio*")&gt;0,"C",IF(COUNTIFS(Codificacion!$AL$2:$AL$177,1,Codificacion!$B$2:$B$177,"Directrices EBA",Auditoria_ECG0!$H$2:$H$177,"G",Auditoria_ECG0!$F$2:$F$177,"&lt;&gt;Futura*",Auditoria_ECG0!$F$2:$F$177,"&lt;&gt;*periodo transitorio*")&gt;0,"G","0")))</f>
        <v>0</v>
      </c>
      <c r="F13" s="17" t="str">
        <f aca="false">IF(COUNTIFS(Codificacion!$AL$2:$AL$177,1,Codificacion!$B$2:$B$177,"RGPD",Auditoria_ECG0!$H$2:$H$177,"E",Auditoria_ECG0!$F$2:$F$177,"&lt;&gt;Futura*",Auditoria_ECG0!$F$2:$F$177,"&lt;&gt;*periodo transitorio*")&gt;0,"E",IF(COUNTIFS(Codificacion!$AL$2:$AL$177,1,Codificacion!$B$2:$B$177,"RGPD",Auditoria_ECG0!$H$2:$H$177,"C",Auditoria_ECG0!$F$2:$F$177,"&lt;&gt;Futura*",Auditoria_ECG0!$F$2:$F$177,"&lt;&gt;*periodo transitorio*")&gt;0,"C",IF(COUNTIFS(Codificacion!$AL$2:$AL$177,1,Codificacion!$B$2:$B$177,"RGPD",Auditoria_ECG0!$H$2:$H$177,"G",Auditoria_ECG0!$F$2:$F$177,"&lt;&gt;Futura*",Auditoria_ECG0!$F$2:$F$177,"&lt;&gt;*periodo transitorio*")&gt;0,"G","0")))</f>
        <v>0</v>
      </c>
      <c r="G13" s="17" t="str">
        <f aca="false">IF(COUNTIFS(Codificacion!$AL$2:$AL$177,1,Codificacion!$B$2:$B$177,"AI Act",Auditoria_ECG0!$H$2:$H$177,"E",Auditoria_ECG0!$F$2:$F$177,"&lt;&gt;Futura*",Auditoria_ECG0!$F$2:$F$177,"&lt;&gt;*periodo transitorio*")&gt;0,"E",IF(COUNTIFS(Codificacion!$AL$2:$AL$177,1,Codificacion!$B$2:$B$177,"AI Act",Auditoria_ECG0!$H$2:$H$177,"C",Auditoria_ECG0!$F$2:$F$177,"&lt;&gt;Futura*",Auditoria_ECG0!$F$2:$F$177,"&lt;&gt;*periodo transitorio*")&gt;0,"C",IF(COUNTIFS(Codificacion!$AL$2:$AL$177,1,Codificacion!$B$2:$B$177,"AI Act",Auditoria_ECG0!$H$2:$H$177,"G",Auditoria_ECG0!$F$2:$F$177,"&lt;&gt;Futura*",Auditoria_ECG0!$F$2:$F$177,"&lt;&gt;*periodo transitorio*")&gt;0,"G","0")))</f>
        <v>0</v>
      </c>
      <c r="H13" s="17" t="str">
        <f aca="false">IF(COUNTIFS(Codificacion!$AL$2:$AL$177,1,Codificacion!$B$2:$B$177,"DORA",Auditoria_ECG0!$H$2:$H$177,"E",Auditoria_ECG0!$F$2:$F$177,"&lt;&gt;Futura*",Auditoria_ECG0!$F$2:$F$177,"&lt;&gt;*periodo transitorio*")&gt;0,"E",IF(COUNTIFS(Codificacion!$AL$2:$AL$177,1,Codificacion!$B$2:$B$177,"DORA",Auditoria_ECG0!$H$2:$H$177,"C",Auditoria_ECG0!$F$2:$F$177,"&lt;&gt;Futura*",Auditoria_ECG0!$F$2:$F$177,"&lt;&gt;*periodo transitorio*")&gt;0,"C",IF(COUNTIFS(Codificacion!$AL$2:$AL$177,1,Codificacion!$B$2:$B$177,"DORA",Auditoria_ECG0!$H$2:$H$177,"G",Auditoria_ECG0!$F$2:$F$177,"&lt;&gt;Futura*",Auditoria_ECG0!$F$2:$F$177,"&lt;&gt;*periodo transitorio*")&gt;0,"G","0")))</f>
        <v>0</v>
      </c>
      <c r="I13" s="17" t="str">
        <f aca="false">IF(COUNTIFS(Codificacion!$AL$2:$AL$177,1,Codificacion!$B$2:$B$177,"eIDAS 2",Auditoria_ECG0!$H$2:$H$177,"E",Auditoria_ECG0!$F$2:$F$177,"&lt;&gt;Futura*",Auditoria_ECG0!$F$2:$F$177,"&lt;&gt;*periodo transitorio*")&gt;0,"E",IF(COUNTIFS(Codificacion!$AL$2:$AL$177,1,Codificacion!$B$2:$B$177,"eIDAS 2",Auditoria_ECG0!$H$2:$H$177,"C",Auditoria_ECG0!$F$2:$F$177,"&lt;&gt;Futura*",Auditoria_ECG0!$F$2:$F$177,"&lt;&gt;*periodo transitorio*")&gt;0,"C",IF(COUNTIFS(Codificacion!$AL$2:$AL$177,1,Codificacion!$B$2:$B$177,"eIDAS 2",Auditoria_ECG0!$H$2:$H$177,"G",Auditoria_ECG0!$F$2:$F$177,"&lt;&gt;Futura*",Auditoria_ECG0!$F$2:$F$177,"&lt;&gt;*periodo transitorio*")&gt;0,"G","0")))</f>
        <v>0</v>
      </c>
      <c r="J13" s="17" t="str">
        <f aca="false">IF(COUNTIFS(Codificacion!$AL$2:$AL$177,1,Codificacion!$B$2:$B$177,"Accesibilidad",Auditoria_ECG0!$H$2:$H$177,"E",Auditoria_ECG0!$F$2:$F$177,"&lt;&gt;Futura*",Auditoria_ECG0!$F$2:$F$177,"&lt;&gt;*periodo transitorio*")&gt;0,"E",IF(COUNTIFS(Codificacion!$AL$2:$AL$177,1,Codificacion!$B$2:$B$177,"Accesibilidad",Auditoria_ECG0!$H$2:$H$177,"C",Auditoria_ECG0!$F$2:$F$177,"&lt;&gt;Futura*",Auditoria_ECG0!$F$2:$F$177,"&lt;&gt;*periodo transitorio*")&gt;0,"C",IF(COUNTIFS(Codificacion!$AL$2:$AL$177,1,Codificacion!$B$2:$B$177,"Accesibilidad",Auditoria_ECG0!$H$2:$H$177,"G",Auditoria_ECG0!$F$2:$F$177,"&lt;&gt;Futura*",Auditoria_ECG0!$F$2:$F$177,"&lt;&gt;*periodo transitorio*")&gt;0,"G","0")))</f>
        <v>0</v>
      </c>
      <c r="K13" s="17" t="str">
        <f aca="false">IF(COUNTIFS(Codificacion!$AL$2:$AL$177,1,Codificacion!$B$2:$B$177,"Atención al cliente ES",Auditoria_ECG0!$H$2:$H$177,"E",Auditoria_ECG0!$F$2:$F$177,"&lt;&gt;Futura*",Auditoria_ECG0!$F$2:$F$177,"&lt;&gt;*periodo transitorio*")&gt;0,"E",IF(COUNTIFS(Codificacion!$AL$2:$AL$177,1,Codificacion!$B$2:$B$177,"Atención al cliente ES",Auditoria_ECG0!$H$2:$H$177,"C",Auditoria_ECG0!$F$2:$F$177,"&lt;&gt;Futura*",Auditoria_ECG0!$F$2:$F$177,"&lt;&gt;*periodo transitorio*")&gt;0,"C",IF(COUNTIFS(Codificacion!$AL$2:$AL$177,1,Codificacion!$B$2:$B$177,"Atención al cliente ES",Auditoria_ECG0!$H$2:$H$177,"G",Auditoria_ECG0!$F$2:$F$177,"&lt;&gt;Futura*",Auditoria_ECG0!$F$2:$F$177,"&lt;&gt;*periodo transitorio*")&gt;0,"G","0")))</f>
        <v>0</v>
      </c>
    </row>
    <row r="14" customFormat="false" ht="15" hidden="false" customHeight="true" outlineLevel="0" collapsed="false">
      <c r="A14" s="8" t="s">
        <v>190</v>
      </c>
      <c r="B14" s="10" t="s">
        <v>155</v>
      </c>
      <c r="C14" s="17" t="str">
        <f aca="false">IF(COUNTIFS(Codificacion!$AM$2:$AM$177,1,Codificacion!$B$2:$B$177,"Cuenta básica",Auditoria_ECG0!$H$2:$H$177,"E",Auditoria_ECG0!$F$2:$F$177,"&lt;&gt;Futura*",Auditoria_ECG0!$F$2:$F$177,"&lt;&gt;*periodo transitorio*")&gt;0,"E",IF(COUNTIFS(Codificacion!$AM$2:$AM$177,1,Codificacion!$B$2:$B$177,"Cuenta básica",Auditoria_ECG0!$H$2:$H$177,"C",Auditoria_ECG0!$F$2:$F$177,"&lt;&gt;Futura*",Auditoria_ECG0!$F$2:$F$177,"&lt;&gt;*periodo transitorio*")&gt;0,"C",IF(COUNTIFS(Codificacion!$AM$2:$AM$177,1,Codificacion!$B$2:$B$177,"Cuenta básica",Auditoria_ECG0!$H$2:$H$177,"G",Auditoria_ECG0!$F$2:$F$177,"&lt;&gt;Futura*",Auditoria_ECG0!$F$2:$F$177,"&lt;&gt;*periodo transitorio*")&gt;0,"G","0")))</f>
        <v>C</v>
      </c>
      <c r="D14" s="17" t="str">
        <f aca="false">IF(COUNTIFS(Codificacion!$AM$2:$AM$177,1,Codificacion!$B$2:$B$177,"AML",Auditoria_ECG0!$H$2:$H$177,"E",Auditoria_ECG0!$F$2:$F$177,"&lt;&gt;Futura*",Auditoria_ECG0!$F$2:$F$177,"&lt;&gt;*periodo transitorio*")&gt;0,"E",IF(COUNTIFS(Codificacion!$AM$2:$AM$177,1,Codificacion!$B$2:$B$177,"AML",Auditoria_ECG0!$H$2:$H$177,"C",Auditoria_ECG0!$F$2:$F$177,"&lt;&gt;Futura*",Auditoria_ECG0!$F$2:$F$177,"&lt;&gt;*periodo transitorio*")&gt;0,"C",IF(COUNTIFS(Codificacion!$AM$2:$AM$177,1,Codificacion!$B$2:$B$177,"AML",Auditoria_ECG0!$H$2:$H$177,"G",Auditoria_ECG0!$F$2:$F$177,"&lt;&gt;Futura*",Auditoria_ECG0!$F$2:$F$177,"&lt;&gt;*periodo transitorio*")&gt;0,"G","0")))</f>
        <v>C</v>
      </c>
      <c r="E14" s="17" t="str">
        <f aca="false">IF(COUNTIFS(Codificacion!$AM$2:$AM$177,1,Codificacion!$B$2:$B$177,"Directrices EBA",Auditoria_ECG0!$H$2:$H$177,"E",Auditoria_ECG0!$F$2:$F$177,"&lt;&gt;Futura*",Auditoria_ECG0!$F$2:$F$177,"&lt;&gt;*periodo transitorio*")&gt;0,"E",IF(COUNTIFS(Codificacion!$AM$2:$AM$177,1,Codificacion!$B$2:$B$177,"Directrices EBA",Auditoria_ECG0!$H$2:$H$177,"C",Auditoria_ECG0!$F$2:$F$177,"&lt;&gt;Futura*",Auditoria_ECG0!$F$2:$F$177,"&lt;&gt;*periodo transitorio*")&gt;0,"C",IF(COUNTIFS(Codificacion!$AM$2:$AM$177,1,Codificacion!$B$2:$B$177,"Directrices EBA",Auditoria_ECG0!$H$2:$H$177,"G",Auditoria_ECG0!$F$2:$F$177,"&lt;&gt;Futura*",Auditoria_ECG0!$F$2:$F$177,"&lt;&gt;*periodo transitorio*")&gt;0,"G","0")))</f>
        <v>0</v>
      </c>
      <c r="F14" s="17" t="str">
        <f aca="false">IF(COUNTIFS(Codificacion!$AM$2:$AM$177,1,Codificacion!$B$2:$B$177,"RGPD",Auditoria_ECG0!$H$2:$H$177,"E",Auditoria_ECG0!$F$2:$F$177,"&lt;&gt;Futura*",Auditoria_ECG0!$F$2:$F$177,"&lt;&gt;*periodo transitorio*")&gt;0,"E",IF(COUNTIFS(Codificacion!$AM$2:$AM$177,1,Codificacion!$B$2:$B$177,"RGPD",Auditoria_ECG0!$H$2:$H$177,"C",Auditoria_ECG0!$F$2:$F$177,"&lt;&gt;Futura*",Auditoria_ECG0!$F$2:$F$177,"&lt;&gt;*periodo transitorio*")&gt;0,"C",IF(COUNTIFS(Codificacion!$AM$2:$AM$177,1,Codificacion!$B$2:$B$177,"RGPD",Auditoria_ECG0!$H$2:$H$177,"G",Auditoria_ECG0!$F$2:$F$177,"&lt;&gt;Futura*",Auditoria_ECG0!$F$2:$F$177,"&lt;&gt;*periodo transitorio*")&gt;0,"G","0")))</f>
        <v>0</v>
      </c>
      <c r="G14" s="17" t="str">
        <f aca="false">IF(COUNTIFS(Codificacion!$AM$2:$AM$177,1,Codificacion!$B$2:$B$177,"AI Act",Auditoria_ECG0!$H$2:$H$177,"E",Auditoria_ECG0!$F$2:$F$177,"&lt;&gt;Futura*",Auditoria_ECG0!$F$2:$F$177,"&lt;&gt;*periodo transitorio*")&gt;0,"E",IF(COUNTIFS(Codificacion!$AM$2:$AM$177,1,Codificacion!$B$2:$B$177,"AI Act",Auditoria_ECG0!$H$2:$H$177,"C",Auditoria_ECG0!$F$2:$F$177,"&lt;&gt;Futura*",Auditoria_ECG0!$F$2:$F$177,"&lt;&gt;*periodo transitorio*")&gt;0,"C",IF(COUNTIFS(Codificacion!$AM$2:$AM$177,1,Codificacion!$B$2:$B$177,"AI Act",Auditoria_ECG0!$H$2:$H$177,"G",Auditoria_ECG0!$F$2:$F$177,"&lt;&gt;Futura*",Auditoria_ECG0!$F$2:$F$177,"&lt;&gt;*periodo transitorio*")&gt;0,"G","0")))</f>
        <v>0</v>
      </c>
      <c r="H14" s="17" t="str">
        <f aca="false">IF(COUNTIFS(Codificacion!$AM$2:$AM$177,1,Codificacion!$B$2:$B$177,"DORA",Auditoria_ECG0!$H$2:$H$177,"E",Auditoria_ECG0!$F$2:$F$177,"&lt;&gt;Futura*",Auditoria_ECG0!$F$2:$F$177,"&lt;&gt;*periodo transitorio*")&gt;0,"E",IF(COUNTIFS(Codificacion!$AM$2:$AM$177,1,Codificacion!$B$2:$B$177,"DORA",Auditoria_ECG0!$H$2:$H$177,"C",Auditoria_ECG0!$F$2:$F$177,"&lt;&gt;Futura*",Auditoria_ECG0!$F$2:$F$177,"&lt;&gt;*periodo transitorio*")&gt;0,"C",IF(COUNTIFS(Codificacion!$AM$2:$AM$177,1,Codificacion!$B$2:$B$177,"DORA",Auditoria_ECG0!$H$2:$H$177,"G",Auditoria_ECG0!$F$2:$F$177,"&lt;&gt;Futura*",Auditoria_ECG0!$F$2:$F$177,"&lt;&gt;*periodo transitorio*")&gt;0,"G","0")))</f>
        <v>0</v>
      </c>
      <c r="I14" s="17" t="str">
        <f aca="false">IF(COUNTIFS(Codificacion!$AM$2:$AM$177,1,Codificacion!$B$2:$B$177,"eIDAS 2",Auditoria_ECG0!$H$2:$H$177,"E",Auditoria_ECG0!$F$2:$F$177,"&lt;&gt;Futura*",Auditoria_ECG0!$F$2:$F$177,"&lt;&gt;*periodo transitorio*")&gt;0,"E",IF(COUNTIFS(Codificacion!$AM$2:$AM$177,1,Codificacion!$B$2:$B$177,"eIDAS 2",Auditoria_ECG0!$H$2:$H$177,"C",Auditoria_ECG0!$F$2:$F$177,"&lt;&gt;Futura*",Auditoria_ECG0!$F$2:$F$177,"&lt;&gt;*periodo transitorio*")&gt;0,"C",IF(COUNTIFS(Codificacion!$AM$2:$AM$177,1,Codificacion!$B$2:$B$177,"eIDAS 2",Auditoria_ECG0!$H$2:$H$177,"G",Auditoria_ECG0!$F$2:$F$177,"&lt;&gt;Futura*",Auditoria_ECG0!$F$2:$F$177,"&lt;&gt;*periodo transitorio*")&gt;0,"G","0")))</f>
        <v>0</v>
      </c>
      <c r="J14" s="17" t="str">
        <f aca="false">IF(COUNTIFS(Codificacion!$AM$2:$AM$177,1,Codificacion!$B$2:$B$177,"Accesibilidad",Auditoria_ECG0!$H$2:$H$177,"E",Auditoria_ECG0!$F$2:$F$177,"&lt;&gt;Futura*",Auditoria_ECG0!$F$2:$F$177,"&lt;&gt;*periodo transitorio*")&gt;0,"E",IF(COUNTIFS(Codificacion!$AM$2:$AM$177,1,Codificacion!$B$2:$B$177,"Accesibilidad",Auditoria_ECG0!$H$2:$H$177,"C",Auditoria_ECG0!$F$2:$F$177,"&lt;&gt;Futura*",Auditoria_ECG0!$F$2:$F$177,"&lt;&gt;*periodo transitorio*")&gt;0,"C",IF(COUNTIFS(Codificacion!$AM$2:$AM$177,1,Codificacion!$B$2:$B$177,"Accesibilidad",Auditoria_ECG0!$H$2:$H$177,"G",Auditoria_ECG0!$F$2:$F$177,"&lt;&gt;Futura*",Auditoria_ECG0!$F$2:$F$177,"&lt;&gt;*periodo transitorio*")&gt;0,"G","0")))</f>
        <v>0</v>
      </c>
      <c r="K14" s="17" t="str">
        <f aca="false">IF(COUNTIFS(Codificacion!$AM$2:$AM$177,1,Codificacion!$B$2:$B$177,"Atención al cliente ES",Auditoria_ECG0!$H$2:$H$177,"E",Auditoria_ECG0!$F$2:$F$177,"&lt;&gt;Futura*",Auditoria_ECG0!$F$2:$F$177,"&lt;&gt;*periodo transitorio*")&gt;0,"E",IF(COUNTIFS(Codificacion!$AM$2:$AM$177,1,Codificacion!$B$2:$B$177,"Atención al cliente ES",Auditoria_ECG0!$H$2:$H$177,"C",Auditoria_ECG0!$F$2:$F$177,"&lt;&gt;Futura*",Auditoria_ECG0!$F$2:$F$177,"&lt;&gt;*periodo transitorio*")&gt;0,"C",IF(COUNTIFS(Codificacion!$AM$2:$AM$177,1,Codificacion!$B$2:$B$177,"Atención al cliente ES",Auditoria_ECG0!$H$2:$H$177,"G",Auditoria_ECG0!$F$2:$F$177,"&lt;&gt;Futura*",Auditoria_ECG0!$F$2:$F$177,"&lt;&gt;*periodo transitorio*")&gt;0,"G","0")))</f>
        <v>0</v>
      </c>
    </row>
    <row r="15" customFormat="false" ht="15" hidden="false" customHeight="true" outlineLevel="0" collapsed="false">
      <c r="A15" s="8" t="s">
        <v>191</v>
      </c>
      <c r="B15" s="10" t="s">
        <v>157</v>
      </c>
      <c r="C15" s="17" t="str">
        <f aca="false">IF(COUNTIFS(Codificacion!$AN$2:$AN$177,1,Codificacion!$B$2:$B$177,"Cuenta básica",Auditoria_ECG0!$H$2:$H$177,"E",Auditoria_ECG0!$F$2:$F$177,"&lt;&gt;Futura*",Auditoria_ECG0!$F$2:$F$177,"&lt;&gt;*periodo transitorio*")&gt;0,"E",IF(COUNTIFS(Codificacion!$AN$2:$AN$177,1,Codificacion!$B$2:$B$177,"Cuenta básica",Auditoria_ECG0!$H$2:$H$177,"C",Auditoria_ECG0!$F$2:$F$177,"&lt;&gt;Futura*",Auditoria_ECG0!$F$2:$F$177,"&lt;&gt;*periodo transitorio*")&gt;0,"C",IF(COUNTIFS(Codificacion!$AN$2:$AN$177,1,Codificacion!$B$2:$B$177,"Cuenta básica",Auditoria_ECG0!$H$2:$H$177,"G",Auditoria_ECG0!$F$2:$F$177,"&lt;&gt;Futura*",Auditoria_ECG0!$F$2:$F$177,"&lt;&gt;*periodo transitorio*")&gt;0,"G","0")))</f>
        <v>E</v>
      </c>
      <c r="D15" s="17" t="str">
        <f aca="false">IF(COUNTIFS(Codificacion!$AN$2:$AN$177,1,Codificacion!$B$2:$B$177,"AML",Auditoria_ECG0!$H$2:$H$177,"E",Auditoria_ECG0!$F$2:$F$177,"&lt;&gt;Futura*",Auditoria_ECG0!$F$2:$F$177,"&lt;&gt;*periodo transitorio*")&gt;0,"E",IF(COUNTIFS(Codificacion!$AN$2:$AN$177,1,Codificacion!$B$2:$B$177,"AML",Auditoria_ECG0!$H$2:$H$177,"C",Auditoria_ECG0!$F$2:$F$177,"&lt;&gt;Futura*",Auditoria_ECG0!$F$2:$F$177,"&lt;&gt;*periodo transitorio*")&gt;0,"C",IF(COUNTIFS(Codificacion!$AN$2:$AN$177,1,Codificacion!$B$2:$B$177,"AML",Auditoria_ECG0!$H$2:$H$177,"G",Auditoria_ECG0!$F$2:$F$177,"&lt;&gt;Futura*",Auditoria_ECG0!$F$2:$F$177,"&lt;&gt;*periodo transitorio*")&gt;0,"G","0")))</f>
        <v>C</v>
      </c>
      <c r="E15" s="17" t="str">
        <f aca="false">IF(COUNTIFS(Codificacion!$AN$2:$AN$177,1,Codificacion!$B$2:$B$177,"Directrices EBA",Auditoria_ECG0!$H$2:$H$177,"E",Auditoria_ECG0!$F$2:$F$177,"&lt;&gt;Futura*",Auditoria_ECG0!$F$2:$F$177,"&lt;&gt;*periodo transitorio*")&gt;0,"E",IF(COUNTIFS(Codificacion!$AN$2:$AN$177,1,Codificacion!$B$2:$B$177,"Directrices EBA",Auditoria_ECG0!$H$2:$H$177,"C",Auditoria_ECG0!$F$2:$F$177,"&lt;&gt;Futura*",Auditoria_ECG0!$F$2:$F$177,"&lt;&gt;*periodo transitorio*")&gt;0,"C",IF(COUNTIFS(Codificacion!$AN$2:$AN$177,1,Codificacion!$B$2:$B$177,"Directrices EBA",Auditoria_ECG0!$H$2:$H$177,"G",Auditoria_ECG0!$F$2:$F$177,"&lt;&gt;Futura*",Auditoria_ECG0!$F$2:$F$177,"&lt;&gt;*periodo transitorio*")&gt;0,"G","0")))</f>
        <v>E</v>
      </c>
      <c r="F15" s="17" t="str">
        <f aca="false">IF(COUNTIFS(Codificacion!$AN$2:$AN$177,1,Codificacion!$B$2:$B$177,"RGPD",Auditoria_ECG0!$H$2:$H$177,"E",Auditoria_ECG0!$F$2:$F$177,"&lt;&gt;Futura*",Auditoria_ECG0!$F$2:$F$177,"&lt;&gt;*periodo transitorio*")&gt;0,"E",IF(COUNTIFS(Codificacion!$AN$2:$AN$177,1,Codificacion!$B$2:$B$177,"RGPD",Auditoria_ECG0!$H$2:$H$177,"C",Auditoria_ECG0!$F$2:$F$177,"&lt;&gt;Futura*",Auditoria_ECG0!$F$2:$F$177,"&lt;&gt;*periodo transitorio*")&gt;0,"C",IF(COUNTIFS(Codificacion!$AN$2:$AN$177,1,Codificacion!$B$2:$B$177,"RGPD",Auditoria_ECG0!$H$2:$H$177,"G",Auditoria_ECG0!$F$2:$F$177,"&lt;&gt;Futura*",Auditoria_ECG0!$F$2:$F$177,"&lt;&gt;*periodo transitorio*")&gt;0,"G","0")))</f>
        <v>G</v>
      </c>
      <c r="G15" s="17" t="str">
        <f aca="false">IF(COUNTIFS(Codificacion!$AN$2:$AN$177,1,Codificacion!$B$2:$B$177,"AI Act",Auditoria_ECG0!$H$2:$H$177,"E",Auditoria_ECG0!$F$2:$F$177,"&lt;&gt;Futura*",Auditoria_ECG0!$F$2:$F$177,"&lt;&gt;*periodo transitorio*")&gt;0,"E",IF(COUNTIFS(Codificacion!$AN$2:$AN$177,1,Codificacion!$B$2:$B$177,"AI Act",Auditoria_ECG0!$H$2:$H$177,"C",Auditoria_ECG0!$F$2:$F$177,"&lt;&gt;Futura*",Auditoria_ECG0!$F$2:$F$177,"&lt;&gt;*periodo transitorio*")&gt;0,"C",IF(COUNTIFS(Codificacion!$AN$2:$AN$177,1,Codificacion!$B$2:$B$177,"AI Act",Auditoria_ECG0!$H$2:$H$177,"G",Auditoria_ECG0!$F$2:$F$177,"&lt;&gt;Futura*",Auditoria_ECG0!$F$2:$F$177,"&lt;&gt;*periodo transitorio*")&gt;0,"G","0")))</f>
        <v>C</v>
      </c>
      <c r="H15" s="17" t="str">
        <f aca="false">IF(COUNTIFS(Codificacion!$AN$2:$AN$177,1,Codificacion!$B$2:$B$177,"DORA",Auditoria_ECG0!$H$2:$H$177,"E",Auditoria_ECG0!$F$2:$F$177,"&lt;&gt;Futura*",Auditoria_ECG0!$F$2:$F$177,"&lt;&gt;*periodo transitorio*")&gt;0,"E",IF(COUNTIFS(Codificacion!$AN$2:$AN$177,1,Codificacion!$B$2:$B$177,"DORA",Auditoria_ECG0!$H$2:$H$177,"C",Auditoria_ECG0!$F$2:$F$177,"&lt;&gt;Futura*",Auditoria_ECG0!$F$2:$F$177,"&lt;&gt;*periodo transitorio*")&gt;0,"C",IF(COUNTIFS(Codificacion!$AN$2:$AN$177,1,Codificacion!$B$2:$B$177,"DORA",Auditoria_ECG0!$H$2:$H$177,"G",Auditoria_ECG0!$F$2:$F$177,"&lt;&gt;Futura*",Auditoria_ECG0!$F$2:$F$177,"&lt;&gt;*periodo transitorio*")&gt;0,"G","0")))</f>
        <v>0</v>
      </c>
      <c r="I15" s="17" t="str">
        <f aca="false">IF(COUNTIFS(Codificacion!$AN$2:$AN$177,1,Codificacion!$B$2:$B$177,"eIDAS 2",Auditoria_ECG0!$H$2:$H$177,"E",Auditoria_ECG0!$F$2:$F$177,"&lt;&gt;Futura*",Auditoria_ECG0!$F$2:$F$177,"&lt;&gt;*periodo transitorio*")&gt;0,"E",IF(COUNTIFS(Codificacion!$AN$2:$AN$177,1,Codificacion!$B$2:$B$177,"eIDAS 2",Auditoria_ECG0!$H$2:$H$177,"C",Auditoria_ECG0!$F$2:$F$177,"&lt;&gt;Futura*",Auditoria_ECG0!$F$2:$F$177,"&lt;&gt;*periodo transitorio*")&gt;0,"C",IF(COUNTIFS(Codificacion!$AN$2:$AN$177,1,Codificacion!$B$2:$B$177,"eIDAS 2",Auditoria_ECG0!$H$2:$H$177,"G",Auditoria_ECG0!$F$2:$F$177,"&lt;&gt;Futura*",Auditoria_ECG0!$F$2:$F$177,"&lt;&gt;*periodo transitorio*")&gt;0,"G","0")))</f>
        <v>0</v>
      </c>
      <c r="J15" s="17" t="str">
        <f aca="false">IF(COUNTIFS(Codificacion!$AN$2:$AN$177,1,Codificacion!$B$2:$B$177,"Accesibilidad",Auditoria_ECG0!$H$2:$H$177,"E",Auditoria_ECG0!$F$2:$F$177,"&lt;&gt;Futura*",Auditoria_ECG0!$F$2:$F$177,"&lt;&gt;*periodo transitorio*")&gt;0,"E",IF(COUNTIFS(Codificacion!$AN$2:$AN$177,1,Codificacion!$B$2:$B$177,"Accesibilidad",Auditoria_ECG0!$H$2:$H$177,"C",Auditoria_ECG0!$F$2:$F$177,"&lt;&gt;Futura*",Auditoria_ECG0!$F$2:$F$177,"&lt;&gt;*periodo transitorio*")&gt;0,"C",IF(COUNTIFS(Codificacion!$AN$2:$AN$177,1,Codificacion!$B$2:$B$177,"Accesibilidad",Auditoria_ECG0!$H$2:$H$177,"G",Auditoria_ECG0!$F$2:$F$177,"&lt;&gt;Futura*",Auditoria_ECG0!$F$2:$F$177,"&lt;&gt;*periodo transitorio*")&gt;0,"G","0")))</f>
        <v>0</v>
      </c>
      <c r="K15" s="17" t="str">
        <f aca="false">IF(COUNTIFS(Codificacion!$AN$2:$AN$177,1,Codificacion!$B$2:$B$177,"Atención al cliente ES",Auditoria_ECG0!$H$2:$H$177,"E",Auditoria_ECG0!$F$2:$F$177,"&lt;&gt;Futura*",Auditoria_ECG0!$F$2:$F$177,"&lt;&gt;*periodo transitorio*")&gt;0,"E",IF(COUNTIFS(Codificacion!$AN$2:$AN$177,1,Codificacion!$B$2:$B$177,"Atención al cliente ES",Auditoria_ECG0!$H$2:$H$177,"C",Auditoria_ECG0!$F$2:$F$177,"&lt;&gt;Futura*",Auditoria_ECG0!$F$2:$F$177,"&lt;&gt;*periodo transitorio*")&gt;0,"C",IF(COUNTIFS(Codificacion!$AN$2:$AN$177,1,Codificacion!$B$2:$B$177,"Atención al cliente ES",Auditoria_ECG0!$H$2:$H$177,"G",Auditoria_ECG0!$F$2:$F$177,"&lt;&gt;Futura*",Auditoria_ECG0!$F$2:$F$177,"&lt;&gt;*periodo transitorio*")&gt;0,"G","0")))</f>
        <v>C</v>
      </c>
    </row>
    <row r="16" customFormat="false" ht="15" hidden="false" customHeight="true" outlineLevel="0" collapsed="false">
      <c r="A16" s="8" t="s">
        <v>192</v>
      </c>
      <c r="B16" s="10" t="s">
        <v>159</v>
      </c>
      <c r="C16" s="17" t="str">
        <f aca="false">IF(COUNTIFS(Codificacion!$AO$2:$AO$177,1,Codificacion!$B$2:$B$177,"Cuenta básica",Auditoria_ECG0!$H$2:$H$177,"E",Auditoria_ECG0!$F$2:$F$177,"&lt;&gt;Futura*",Auditoria_ECG0!$F$2:$F$177,"&lt;&gt;*periodo transitorio*")&gt;0,"E",IF(COUNTIFS(Codificacion!$AO$2:$AO$177,1,Codificacion!$B$2:$B$177,"Cuenta básica",Auditoria_ECG0!$H$2:$H$177,"C",Auditoria_ECG0!$F$2:$F$177,"&lt;&gt;Futura*",Auditoria_ECG0!$F$2:$F$177,"&lt;&gt;*periodo transitorio*")&gt;0,"C",IF(COUNTIFS(Codificacion!$AO$2:$AO$177,1,Codificacion!$B$2:$B$177,"Cuenta básica",Auditoria_ECG0!$H$2:$H$177,"G",Auditoria_ECG0!$F$2:$F$177,"&lt;&gt;Futura*",Auditoria_ECG0!$F$2:$F$177,"&lt;&gt;*periodo transitorio*")&gt;0,"G","0")))</f>
        <v>E</v>
      </c>
      <c r="D16" s="17" t="str">
        <f aca="false">IF(COUNTIFS(Codificacion!$AO$2:$AO$177,1,Codificacion!$B$2:$B$177,"AML",Auditoria_ECG0!$H$2:$H$177,"E",Auditoria_ECG0!$F$2:$F$177,"&lt;&gt;Futura*",Auditoria_ECG0!$F$2:$F$177,"&lt;&gt;*periodo transitorio*")&gt;0,"E",IF(COUNTIFS(Codificacion!$AO$2:$AO$177,1,Codificacion!$B$2:$B$177,"AML",Auditoria_ECG0!$H$2:$H$177,"C",Auditoria_ECG0!$F$2:$F$177,"&lt;&gt;Futura*",Auditoria_ECG0!$F$2:$F$177,"&lt;&gt;*periodo transitorio*")&gt;0,"C",IF(COUNTIFS(Codificacion!$AO$2:$AO$177,1,Codificacion!$B$2:$B$177,"AML",Auditoria_ECG0!$H$2:$H$177,"G",Auditoria_ECG0!$F$2:$F$177,"&lt;&gt;Futura*",Auditoria_ECG0!$F$2:$F$177,"&lt;&gt;*periodo transitorio*")&gt;0,"G","0")))</f>
        <v>C</v>
      </c>
      <c r="E16" s="17" t="str">
        <f aca="false">IF(COUNTIFS(Codificacion!$AO$2:$AO$177,1,Codificacion!$B$2:$B$177,"Directrices EBA",Auditoria_ECG0!$H$2:$H$177,"E",Auditoria_ECG0!$F$2:$F$177,"&lt;&gt;Futura*",Auditoria_ECG0!$F$2:$F$177,"&lt;&gt;*periodo transitorio*")&gt;0,"E",IF(COUNTIFS(Codificacion!$AO$2:$AO$177,1,Codificacion!$B$2:$B$177,"Directrices EBA",Auditoria_ECG0!$H$2:$H$177,"C",Auditoria_ECG0!$F$2:$F$177,"&lt;&gt;Futura*",Auditoria_ECG0!$F$2:$F$177,"&lt;&gt;*periodo transitorio*")&gt;0,"C",IF(COUNTIFS(Codificacion!$AO$2:$AO$177,1,Codificacion!$B$2:$B$177,"Directrices EBA",Auditoria_ECG0!$H$2:$H$177,"G",Auditoria_ECG0!$F$2:$F$177,"&lt;&gt;Futura*",Auditoria_ECG0!$F$2:$F$177,"&lt;&gt;*periodo transitorio*")&gt;0,"G","0")))</f>
        <v>C</v>
      </c>
      <c r="F16" s="17" t="str">
        <f aca="false">IF(COUNTIFS(Codificacion!$AO$2:$AO$177,1,Codificacion!$B$2:$B$177,"RGPD",Auditoria_ECG0!$H$2:$H$177,"E",Auditoria_ECG0!$F$2:$F$177,"&lt;&gt;Futura*",Auditoria_ECG0!$F$2:$F$177,"&lt;&gt;*periodo transitorio*")&gt;0,"E",IF(COUNTIFS(Codificacion!$AO$2:$AO$177,1,Codificacion!$B$2:$B$177,"RGPD",Auditoria_ECG0!$H$2:$H$177,"C",Auditoria_ECG0!$F$2:$F$177,"&lt;&gt;Futura*",Auditoria_ECG0!$F$2:$F$177,"&lt;&gt;*periodo transitorio*")&gt;0,"C",IF(COUNTIFS(Codificacion!$AO$2:$AO$177,1,Codificacion!$B$2:$B$177,"RGPD",Auditoria_ECG0!$H$2:$H$177,"G",Auditoria_ECG0!$F$2:$F$177,"&lt;&gt;Futura*",Auditoria_ECG0!$F$2:$F$177,"&lt;&gt;*periodo transitorio*")&gt;0,"G","0")))</f>
        <v>0</v>
      </c>
      <c r="G16" s="17" t="str">
        <f aca="false">IF(COUNTIFS(Codificacion!$AO$2:$AO$177,1,Codificacion!$B$2:$B$177,"AI Act",Auditoria_ECG0!$H$2:$H$177,"E",Auditoria_ECG0!$F$2:$F$177,"&lt;&gt;Futura*",Auditoria_ECG0!$F$2:$F$177,"&lt;&gt;*periodo transitorio*")&gt;0,"E",IF(COUNTIFS(Codificacion!$AO$2:$AO$177,1,Codificacion!$B$2:$B$177,"AI Act",Auditoria_ECG0!$H$2:$H$177,"C",Auditoria_ECG0!$F$2:$F$177,"&lt;&gt;Futura*",Auditoria_ECG0!$F$2:$F$177,"&lt;&gt;*periodo transitorio*")&gt;0,"C",IF(COUNTIFS(Codificacion!$AO$2:$AO$177,1,Codificacion!$B$2:$B$177,"AI Act",Auditoria_ECG0!$H$2:$H$177,"G",Auditoria_ECG0!$F$2:$F$177,"&lt;&gt;Futura*",Auditoria_ECG0!$F$2:$F$177,"&lt;&gt;*periodo transitorio*")&gt;0,"G","0")))</f>
        <v>0</v>
      </c>
      <c r="H16" s="17" t="str">
        <f aca="false">IF(COUNTIFS(Codificacion!$AO$2:$AO$177,1,Codificacion!$B$2:$B$177,"DORA",Auditoria_ECG0!$H$2:$H$177,"E",Auditoria_ECG0!$F$2:$F$177,"&lt;&gt;Futura*",Auditoria_ECG0!$F$2:$F$177,"&lt;&gt;*periodo transitorio*")&gt;0,"E",IF(COUNTIFS(Codificacion!$AO$2:$AO$177,1,Codificacion!$B$2:$B$177,"DORA",Auditoria_ECG0!$H$2:$H$177,"C",Auditoria_ECG0!$F$2:$F$177,"&lt;&gt;Futura*",Auditoria_ECG0!$F$2:$F$177,"&lt;&gt;*periodo transitorio*")&gt;0,"C",IF(COUNTIFS(Codificacion!$AO$2:$AO$177,1,Codificacion!$B$2:$B$177,"DORA",Auditoria_ECG0!$H$2:$H$177,"G",Auditoria_ECG0!$F$2:$F$177,"&lt;&gt;Futura*",Auditoria_ECG0!$F$2:$F$177,"&lt;&gt;*periodo transitorio*")&gt;0,"G","0")))</f>
        <v>0</v>
      </c>
      <c r="I16" s="17" t="str">
        <f aca="false">IF(COUNTIFS(Codificacion!$AO$2:$AO$177,1,Codificacion!$B$2:$B$177,"eIDAS 2",Auditoria_ECG0!$H$2:$H$177,"E",Auditoria_ECG0!$F$2:$F$177,"&lt;&gt;Futura*",Auditoria_ECG0!$F$2:$F$177,"&lt;&gt;*periodo transitorio*")&gt;0,"E",IF(COUNTIFS(Codificacion!$AO$2:$AO$177,1,Codificacion!$B$2:$B$177,"eIDAS 2",Auditoria_ECG0!$H$2:$H$177,"C",Auditoria_ECG0!$F$2:$F$177,"&lt;&gt;Futura*",Auditoria_ECG0!$F$2:$F$177,"&lt;&gt;*periodo transitorio*")&gt;0,"C",IF(COUNTIFS(Codificacion!$AO$2:$AO$177,1,Codificacion!$B$2:$B$177,"eIDAS 2",Auditoria_ECG0!$H$2:$H$177,"G",Auditoria_ECG0!$F$2:$F$177,"&lt;&gt;Futura*",Auditoria_ECG0!$F$2:$F$177,"&lt;&gt;*periodo transitorio*")&gt;0,"G","0")))</f>
        <v>0</v>
      </c>
      <c r="J16" s="17" t="str">
        <f aca="false">IF(COUNTIFS(Codificacion!$AO$2:$AO$177,1,Codificacion!$B$2:$B$177,"Accesibilidad",Auditoria_ECG0!$H$2:$H$177,"E",Auditoria_ECG0!$F$2:$F$177,"&lt;&gt;Futura*",Auditoria_ECG0!$F$2:$F$177,"&lt;&gt;*periodo transitorio*")&gt;0,"E",IF(COUNTIFS(Codificacion!$AO$2:$AO$177,1,Codificacion!$B$2:$B$177,"Accesibilidad",Auditoria_ECG0!$H$2:$H$177,"C",Auditoria_ECG0!$F$2:$F$177,"&lt;&gt;Futura*",Auditoria_ECG0!$F$2:$F$177,"&lt;&gt;*periodo transitorio*")&gt;0,"C",IF(COUNTIFS(Codificacion!$AO$2:$AO$177,1,Codificacion!$B$2:$B$177,"Accesibilidad",Auditoria_ECG0!$H$2:$H$177,"G",Auditoria_ECG0!$F$2:$F$177,"&lt;&gt;Futura*",Auditoria_ECG0!$F$2:$F$177,"&lt;&gt;*periodo transitorio*")&gt;0,"G","0")))</f>
        <v>0</v>
      </c>
      <c r="K16" s="17" t="str">
        <f aca="false">IF(COUNTIFS(Codificacion!$AO$2:$AO$177,1,Codificacion!$B$2:$B$177,"Atención al cliente ES",Auditoria_ECG0!$H$2:$H$177,"E",Auditoria_ECG0!$F$2:$F$177,"&lt;&gt;Futura*",Auditoria_ECG0!$F$2:$F$177,"&lt;&gt;*periodo transitorio*")&gt;0,"E",IF(COUNTIFS(Codificacion!$AO$2:$AO$177,1,Codificacion!$B$2:$B$177,"Atención al cliente ES",Auditoria_ECG0!$H$2:$H$177,"C",Auditoria_ECG0!$F$2:$F$177,"&lt;&gt;Futura*",Auditoria_ECG0!$F$2:$F$177,"&lt;&gt;*periodo transitorio*")&gt;0,"C",IF(COUNTIFS(Codificacion!$AO$2:$AO$177,1,Codificacion!$B$2:$B$177,"Atención al cliente ES",Auditoria_ECG0!$H$2:$H$177,"G",Auditoria_ECG0!$F$2:$F$177,"&lt;&gt;Futura*",Auditoria_ECG0!$F$2:$F$177,"&lt;&gt;*periodo transitorio*")&gt;0,"G","0")))</f>
        <v>C</v>
      </c>
    </row>
    <row r="18" customFormat="false" ht="15" hidden="false" customHeight="true" outlineLevel="0" collapsed="false">
      <c r="A18" s="8" t="s">
        <v>1183</v>
      </c>
    </row>
    <row r="19" customFormat="false" ht="23.25" hidden="false" customHeight="true" outlineLevel="0" collapsed="false">
      <c r="A19" s="28" t="s">
        <v>136</v>
      </c>
      <c r="B19" s="28" t="s">
        <v>1055</v>
      </c>
      <c r="C19" s="28" t="s">
        <v>194</v>
      </c>
      <c r="D19" s="28" t="s">
        <v>389</v>
      </c>
      <c r="E19" s="28" t="s">
        <v>530</v>
      </c>
      <c r="F19" s="28" t="s">
        <v>758</v>
      </c>
      <c r="G19" s="28" t="s">
        <v>816</v>
      </c>
      <c r="H19" s="28" t="s">
        <v>896</v>
      </c>
      <c r="I19" s="28" t="s">
        <v>939</v>
      </c>
      <c r="J19" s="28" t="s">
        <v>952</v>
      </c>
      <c r="K19" s="28" t="s">
        <v>315</v>
      </c>
    </row>
    <row r="20" customFormat="false" ht="15" hidden="false" customHeight="true" outlineLevel="0" collapsed="false">
      <c r="A20" s="8" t="s">
        <v>182</v>
      </c>
      <c r="B20" s="10" t="s">
        <v>140</v>
      </c>
      <c r="C20" s="17" t="str">
        <f aca="false">IF(COUNTIFS(Codificacion!$AE$2:$AE$177,1,Codificacion!$B$2:$B$177,"Cuenta básica",Auditoria_ECG0!$H$2:$H$177,"E")&gt;0,"E",IF(COUNTIFS(Codificacion!$AE$2:$AE$177,1,Codificacion!$B$2:$B$177,"Cuenta básica",Auditoria_ECG0!$H$2:$H$177,"C")&gt;0,"C",IF(COUNTIFS(Codificacion!$AE$2:$AE$177,1,Codificacion!$B$2:$B$177,"Cuenta básica",Auditoria_ECG0!$H$2:$H$177,"G")&gt;0,"G","0")))</f>
        <v>C</v>
      </c>
      <c r="D20" s="17" t="str">
        <f aca="false">IF(COUNTIFS(Codificacion!$AE$2:$AE$177,1,Codificacion!$B$2:$B$177,"AML",Auditoria_ECG0!$H$2:$H$177,"E")&gt;0,"E",IF(COUNTIFS(Codificacion!$AE$2:$AE$177,1,Codificacion!$B$2:$B$177,"AML",Auditoria_ECG0!$H$2:$H$177,"C")&gt;0,"C",IF(COUNTIFS(Codificacion!$AE$2:$AE$177,1,Codificacion!$B$2:$B$177,"AML",Auditoria_ECG0!$H$2:$H$177,"G")&gt;0,"G","0")))</f>
        <v>E</v>
      </c>
      <c r="E20" s="17" t="str">
        <f aca="false">IF(COUNTIFS(Codificacion!$AE$2:$AE$177,1,Codificacion!$B$2:$B$177,"Directrices EBA",Auditoria_ECG0!$H$2:$H$177,"E")&gt;0,"E",IF(COUNTIFS(Codificacion!$AE$2:$AE$177,1,Codificacion!$B$2:$B$177,"Directrices EBA",Auditoria_ECG0!$H$2:$H$177,"C")&gt;0,"C",IF(COUNTIFS(Codificacion!$AE$2:$AE$177,1,Codificacion!$B$2:$B$177,"Directrices EBA",Auditoria_ECG0!$H$2:$H$177,"G")&gt;0,"G","0")))</f>
        <v>C</v>
      </c>
      <c r="F20" s="17" t="str">
        <f aca="false">IF(COUNTIFS(Codificacion!$AE$2:$AE$177,1,Codificacion!$B$2:$B$177,"RGPD",Auditoria_ECG0!$H$2:$H$177,"E")&gt;0,"E",IF(COUNTIFS(Codificacion!$AE$2:$AE$177,1,Codificacion!$B$2:$B$177,"RGPD",Auditoria_ECG0!$H$2:$H$177,"C")&gt;0,"C",IF(COUNTIFS(Codificacion!$AE$2:$AE$177,1,Codificacion!$B$2:$B$177,"RGPD",Auditoria_ECG0!$H$2:$H$177,"G")&gt;0,"G","0")))</f>
        <v>G</v>
      </c>
      <c r="G20" s="17" t="str">
        <f aca="false">IF(COUNTIFS(Codificacion!$AE$2:$AE$177,1,Codificacion!$B$2:$B$177,"AI Act",Auditoria_ECG0!$H$2:$H$177,"E")&gt;0,"E",IF(COUNTIFS(Codificacion!$AE$2:$AE$177,1,Codificacion!$B$2:$B$177,"AI Act",Auditoria_ECG0!$H$2:$H$177,"C")&gt;0,"C",IF(COUNTIFS(Codificacion!$AE$2:$AE$177,1,Codificacion!$B$2:$B$177,"AI Act",Auditoria_ECG0!$H$2:$H$177,"G")&gt;0,"G","0")))</f>
        <v>C</v>
      </c>
      <c r="H20" s="17" t="str">
        <f aca="false">IF(COUNTIFS(Codificacion!$AE$2:$AE$177,1,Codificacion!$B$2:$B$177,"DORA",Auditoria_ECG0!$H$2:$H$177,"E")&gt;0,"E",IF(COUNTIFS(Codificacion!$AE$2:$AE$177,1,Codificacion!$B$2:$B$177,"DORA",Auditoria_ECG0!$H$2:$H$177,"C")&gt;0,"C",IF(COUNTIFS(Codificacion!$AE$2:$AE$177,1,Codificacion!$B$2:$B$177,"DORA",Auditoria_ECG0!$H$2:$H$177,"G")&gt;0,"G","0")))</f>
        <v>0</v>
      </c>
      <c r="I20" s="17" t="str">
        <f aca="false">IF(COUNTIFS(Codificacion!$AE$2:$AE$177,1,Codificacion!$B$2:$B$177,"eIDAS 2",Auditoria_ECG0!$H$2:$H$177,"E")&gt;0,"E",IF(COUNTIFS(Codificacion!$AE$2:$AE$177,1,Codificacion!$B$2:$B$177,"eIDAS 2",Auditoria_ECG0!$H$2:$H$177,"C")&gt;0,"C",IF(COUNTIFS(Codificacion!$AE$2:$AE$177,1,Codificacion!$B$2:$B$177,"eIDAS 2",Auditoria_ECG0!$H$2:$H$177,"G")&gt;0,"G","0")))</f>
        <v>0</v>
      </c>
      <c r="J20" s="17" t="str">
        <f aca="false">IF(COUNTIFS(Codificacion!$AE$2:$AE$177,1,Codificacion!$B$2:$B$177,"Accesibilidad",Auditoria_ECG0!$H$2:$H$177,"E")&gt;0,"E",IF(COUNTIFS(Codificacion!$AE$2:$AE$177,1,Codificacion!$B$2:$B$177,"Accesibilidad",Auditoria_ECG0!$H$2:$H$177,"C")&gt;0,"C",IF(COUNTIFS(Codificacion!$AE$2:$AE$177,1,Codificacion!$B$2:$B$177,"Accesibilidad",Auditoria_ECG0!$H$2:$H$177,"G")&gt;0,"G","0")))</f>
        <v>G</v>
      </c>
      <c r="K20" s="17" t="str">
        <f aca="false">IF(COUNTIFS(Codificacion!$AE$2:$AE$177,1,Codificacion!$B$2:$B$177,"Atención al cliente ES",Auditoria_ECG0!$H$2:$H$177,"E")&gt;0,"E",IF(COUNTIFS(Codificacion!$AE$2:$AE$177,1,Codificacion!$B$2:$B$177,"Atención al cliente ES",Auditoria_ECG0!$H$2:$H$177,"C")&gt;0,"C",IF(COUNTIFS(Codificacion!$AE$2:$AE$177,1,Codificacion!$B$2:$B$177,"Atención al cliente ES",Auditoria_ECG0!$H$2:$H$177,"G")&gt;0,"G","0")))</f>
        <v>C</v>
      </c>
    </row>
    <row r="21" customFormat="false" ht="15" hidden="false" customHeight="true" outlineLevel="0" collapsed="false">
      <c r="A21" s="8" t="s">
        <v>183</v>
      </c>
      <c r="B21" s="10" t="s">
        <v>1057</v>
      </c>
      <c r="C21" s="17" t="str">
        <f aca="false">IF(COUNTIFS(Codificacion!$AF$2:$AF$177,1,Codificacion!$B$2:$B$177,"Cuenta básica",Auditoria_ECG0!$H$2:$H$177,"E")&gt;0,"E",IF(COUNTIFS(Codificacion!$AF$2:$AF$177,1,Codificacion!$B$2:$B$177,"Cuenta básica",Auditoria_ECG0!$H$2:$H$177,"C")&gt;0,"C",IF(COUNTIFS(Codificacion!$AF$2:$AF$177,1,Codificacion!$B$2:$B$177,"Cuenta básica",Auditoria_ECG0!$H$2:$H$177,"G")&gt;0,"G","0")))</f>
        <v>0</v>
      </c>
      <c r="D21" s="17" t="str">
        <f aca="false">IF(COUNTIFS(Codificacion!$AF$2:$AF$177,1,Codificacion!$B$2:$B$177,"AML",Auditoria_ECG0!$H$2:$H$177,"E")&gt;0,"E",IF(COUNTIFS(Codificacion!$AF$2:$AF$177,1,Codificacion!$B$2:$B$177,"AML",Auditoria_ECG0!$H$2:$H$177,"C")&gt;0,"C",IF(COUNTIFS(Codificacion!$AF$2:$AF$177,1,Codificacion!$B$2:$B$177,"AML",Auditoria_ECG0!$H$2:$H$177,"G")&gt;0,"G","0")))</f>
        <v>C</v>
      </c>
      <c r="E21" s="17" t="str">
        <f aca="false">IF(COUNTIFS(Codificacion!$AF$2:$AF$177,1,Codificacion!$B$2:$B$177,"Directrices EBA",Auditoria_ECG0!$H$2:$H$177,"E")&gt;0,"E",IF(COUNTIFS(Codificacion!$AF$2:$AF$177,1,Codificacion!$B$2:$B$177,"Directrices EBA",Auditoria_ECG0!$H$2:$H$177,"C")&gt;0,"C",IF(COUNTIFS(Codificacion!$AF$2:$AF$177,1,Codificacion!$B$2:$B$177,"Directrices EBA",Auditoria_ECG0!$H$2:$H$177,"G")&gt;0,"G","0")))</f>
        <v>0</v>
      </c>
      <c r="F21" s="17" t="str">
        <f aca="false">IF(COUNTIFS(Codificacion!$AF$2:$AF$177,1,Codificacion!$B$2:$B$177,"RGPD",Auditoria_ECG0!$H$2:$H$177,"E")&gt;0,"E",IF(COUNTIFS(Codificacion!$AF$2:$AF$177,1,Codificacion!$B$2:$B$177,"RGPD",Auditoria_ECG0!$H$2:$H$177,"C")&gt;0,"C",IF(COUNTIFS(Codificacion!$AF$2:$AF$177,1,Codificacion!$B$2:$B$177,"RGPD",Auditoria_ECG0!$H$2:$H$177,"G")&gt;0,"G","0")))</f>
        <v>0</v>
      </c>
      <c r="G21" s="17" t="str">
        <f aca="false">IF(COUNTIFS(Codificacion!$AF$2:$AF$177,1,Codificacion!$B$2:$B$177,"AI Act",Auditoria_ECG0!$H$2:$H$177,"E")&gt;0,"E",IF(COUNTIFS(Codificacion!$AF$2:$AF$177,1,Codificacion!$B$2:$B$177,"AI Act",Auditoria_ECG0!$H$2:$H$177,"C")&gt;0,"C",IF(COUNTIFS(Codificacion!$AF$2:$AF$177,1,Codificacion!$B$2:$B$177,"AI Act",Auditoria_ECG0!$H$2:$H$177,"G")&gt;0,"G","0")))</f>
        <v>0</v>
      </c>
      <c r="H21" s="17" t="str">
        <f aca="false">IF(COUNTIFS(Codificacion!$AF$2:$AF$177,1,Codificacion!$B$2:$B$177,"DORA",Auditoria_ECG0!$H$2:$H$177,"E")&gt;0,"E",IF(COUNTIFS(Codificacion!$AF$2:$AF$177,1,Codificacion!$B$2:$B$177,"DORA",Auditoria_ECG0!$H$2:$H$177,"C")&gt;0,"C",IF(COUNTIFS(Codificacion!$AF$2:$AF$177,1,Codificacion!$B$2:$B$177,"DORA",Auditoria_ECG0!$H$2:$H$177,"G")&gt;0,"G","0")))</f>
        <v>0</v>
      </c>
      <c r="I21" s="17" t="str">
        <f aca="false">IF(COUNTIFS(Codificacion!$AF$2:$AF$177,1,Codificacion!$B$2:$B$177,"eIDAS 2",Auditoria_ECG0!$H$2:$H$177,"E")&gt;0,"E",IF(COUNTIFS(Codificacion!$AF$2:$AF$177,1,Codificacion!$B$2:$B$177,"eIDAS 2",Auditoria_ECG0!$H$2:$H$177,"C")&gt;0,"C",IF(COUNTIFS(Codificacion!$AF$2:$AF$177,1,Codificacion!$B$2:$B$177,"eIDAS 2",Auditoria_ECG0!$H$2:$H$177,"G")&gt;0,"G","0")))</f>
        <v>0</v>
      </c>
      <c r="J21" s="17" t="str">
        <f aca="false">IF(COUNTIFS(Codificacion!$AF$2:$AF$177,1,Codificacion!$B$2:$B$177,"Accesibilidad",Auditoria_ECG0!$H$2:$H$177,"E")&gt;0,"E",IF(COUNTIFS(Codificacion!$AF$2:$AF$177,1,Codificacion!$B$2:$B$177,"Accesibilidad",Auditoria_ECG0!$H$2:$H$177,"C")&gt;0,"C",IF(COUNTIFS(Codificacion!$AF$2:$AF$177,1,Codificacion!$B$2:$B$177,"Accesibilidad",Auditoria_ECG0!$H$2:$H$177,"G")&gt;0,"G","0")))</f>
        <v>G</v>
      </c>
      <c r="K21" s="17" t="str">
        <f aca="false">IF(COUNTIFS(Codificacion!$AF$2:$AF$177,1,Codificacion!$B$2:$B$177,"Atención al cliente ES",Auditoria_ECG0!$H$2:$H$177,"E")&gt;0,"E",IF(COUNTIFS(Codificacion!$AF$2:$AF$177,1,Codificacion!$B$2:$B$177,"Atención al cliente ES",Auditoria_ECG0!$H$2:$H$177,"C")&gt;0,"C",IF(COUNTIFS(Codificacion!$AF$2:$AF$177,1,Codificacion!$B$2:$B$177,"Atención al cliente ES",Auditoria_ECG0!$H$2:$H$177,"G")&gt;0,"G","0")))</f>
        <v>0</v>
      </c>
    </row>
    <row r="22" customFormat="false" ht="15" hidden="false" customHeight="true" outlineLevel="0" collapsed="false">
      <c r="A22" s="8" t="s">
        <v>184</v>
      </c>
      <c r="B22" s="10" t="s">
        <v>1058</v>
      </c>
      <c r="C22" s="17" t="str">
        <f aca="false">IF(COUNTIFS(Codificacion!$AG$2:$AG$177,1,Codificacion!$B$2:$B$177,"Cuenta básica",Auditoria_ECG0!$H$2:$H$177,"E")&gt;0,"E",IF(COUNTIFS(Codificacion!$AG$2:$AG$177,1,Codificacion!$B$2:$B$177,"Cuenta básica",Auditoria_ECG0!$H$2:$H$177,"C")&gt;0,"C",IF(COUNTIFS(Codificacion!$AG$2:$AG$177,1,Codificacion!$B$2:$B$177,"Cuenta básica",Auditoria_ECG0!$H$2:$H$177,"G")&gt;0,"G","0")))</f>
        <v>0</v>
      </c>
      <c r="D22" s="17" t="str">
        <f aca="false">IF(COUNTIFS(Codificacion!$AG$2:$AG$177,1,Codificacion!$B$2:$B$177,"AML",Auditoria_ECG0!$H$2:$H$177,"E")&gt;0,"E",IF(COUNTIFS(Codificacion!$AG$2:$AG$177,1,Codificacion!$B$2:$B$177,"AML",Auditoria_ECG0!$H$2:$H$177,"C")&gt;0,"C",IF(COUNTIFS(Codificacion!$AG$2:$AG$177,1,Codificacion!$B$2:$B$177,"AML",Auditoria_ECG0!$H$2:$H$177,"G")&gt;0,"G","0")))</f>
        <v>C</v>
      </c>
      <c r="E22" s="17" t="str">
        <f aca="false">IF(COUNTIFS(Codificacion!$AG$2:$AG$177,1,Codificacion!$B$2:$B$177,"Directrices EBA",Auditoria_ECG0!$H$2:$H$177,"E")&gt;0,"E",IF(COUNTIFS(Codificacion!$AG$2:$AG$177,1,Codificacion!$B$2:$B$177,"Directrices EBA",Auditoria_ECG0!$H$2:$H$177,"C")&gt;0,"C",IF(COUNTIFS(Codificacion!$AG$2:$AG$177,1,Codificacion!$B$2:$B$177,"Directrices EBA",Auditoria_ECG0!$H$2:$H$177,"G")&gt;0,"G","0")))</f>
        <v>C</v>
      </c>
      <c r="F22" s="17" t="str">
        <f aca="false">IF(COUNTIFS(Codificacion!$AG$2:$AG$177,1,Codificacion!$B$2:$B$177,"RGPD",Auditoria_ECG0!$H$2:$H$177,"E")&gt;0,"E",IF(COUNTIFS(Codificacion!$AG$2:$AG$177,1,Codificacion!$B$2:$B$177,"RGPD",Auditoria_ECG0!$H$2:$H$177,"C")&gt;0,"C",IF(COUNTIFS(Codificacion!$AG$2:$AG$177,1,Codificacion!$B$2:$B$177,"RGPD",Auditoria_ECG0!$H$2:$H$177,"G")&gt;0,"G","0")))</f>
        <v>0</v>
      </c>
      <c r="G22" s="17" t="str">
        <f aca="false">IF(COUNTIFS(Codificacion!$AG$2:$AG$177,1,Codificacion!$B$2:$B$177,"AI Act",Auditoria_ECG0!$H$2:$H$177,"E")&gt;0,"E",IF(COUNTIFS(Codificacion!$AG$2:$AG$177,1,Codificacion!$B$2:$B$177,"AI Act",Auditoria_ECG0!$H$2:$H$177,"C")&gt;0,"C",IF(COUNTIFS(Codificacion!$AG$2:$AG$177,1,Codificacion!$B$2:$B$177,"AI Act",Auditoria_ECG0!$H$2:$H$177,"G")&gt;0,"G","0")))</f>
        <v>0</v>
      </c>
      <c r="H22" s="17" t="str">
        <f aca="false">IF(COUNTIFS(Codificacion!$AG$2:$AG$177,1,Codificacion!$B$2:$B$177,"DORA",Auditoria_ECG0!$H$2:$H$177,"E")&gt;0,"E",IF(COUNTIFS(Codificacion!$AG$2:$AG$177,1,Codificacion!$B$2:$B$177,"DORA",Auditoria_ECG0!$H$2:$H$177,"C")&gt;0,"C",IF(COUNTIFS(Codificacion!$AG$2:$AG$177,1,Codificacion!$B$2:$B$177,"DORA",Auditoria_ECG0!$H$2:$H$177,"G")&gt;0,"G","0")))</f>
        <v>C</v>
      </c>
      <c r="I22" s="17" t="str">
        <f aca="false">IF(COUNTIFS(Codificacion!$AG$2:$AG$177,1,Codificacion!$B$2:$B$177,"eIDAS 2",Auditoria_ECG0!$H$2:$H$177,"E")&gt;0,"E",IF(COUNTIFS(Codificacion!$AG$2:$AG$177,1,Codificacion!$B$2:$B$177,"eIDAS 2",Auditoria_ECG0!$H$2:$H$177,"C")&gt;0,"C",IF(COUNTIFS(Codificacion!$AG$2:$AG$177,1,Codificacion!$B$2:$B$177,"eIDAS 2",Auditoria_ECG0!$H$2:$H$177,"G")&gt;0,"G","0")))</f>
        <v>0</v>
      </c>
      <c r="J22" s="17" t="str">
        <f aca="false">IF(COUNTIFS(Codificacion!$AG$2:$AG$177,1,Codificacion!$B$2:$B$177,"Accesibilidad",Auditoria_ECG0!$H$2:$H$177,"E")&gt;0,"E",IF(COUNTIFS(Codificacion!$AG$2:$AG$177,1,Codificacion!$B$2:$B$177,"Accesibilidad",Auditoria_ECG0!$H$2:$H$177,"C")&gt;0,"C",IF(COUNTIFS(Codificacion!$AG$2:$AG$177,1,Codificacion!$B$2:$B$177,"Accesibilidad",Auditoria_ECG0!$H$2:$H$177,"G")&gt;0,"G","0")))</f>
        <v>0</v>
      </c>
      <c r="K22" s="17" t="str">
        <f aca="false">IF(COUNTIFS(Codificacion!$AG$2:$AG$177,1,Codificacion!$B$2:$B$177,"Atención al cliente ES",Auditoria_ECG0!$H$2:$H$177,"E")&gt;0,"E",IF(COUNTIFS(Codificacion!$AG$2:$AG$177,1,Codificacion!$B$2:$B$177,"Atención al cliente ES",Auditoria_ECG0!$H$2:$H$177,"C")&gt;0,"C",IF(COUNTIFS(Codificacion!$AG$2:$AG$177,1,Codificacion!$B$2:$B$177,"Atención al cliente ES",Auditoria_ECG0!$H$2:$H$177,"G")&gt;0,"G","0")))</f>
        <v>0</v>
      </c>
    </row>
    <row r="23" customFormat="false" ht="15" hidden="false" customHeight="true" outlineLevel="0" collapsed="false">
      <c r="A23" s="8" t="s">
        <v>185</v>
      </c>
      <c r="B23" s="10" t="s">
        <v>147</v>
      </c>
      <c r="C23" s="17" t="str">
        <f aca="false">IF(COUNTIFS(Codificacion!$AH$2:$AH$177,1,Codificacion!$B$2:$B$177,"Cuenta básica",Auditoria_ECG0!$H$2:$H$177,"E")&gt;0,"E",IF(COUNTIFS(Codificacion!$AH$2:$AH$177,1,Codificacion!$B$2:$B$177,"Cuenta básica",Auditoria_ECG0!$H$2:$H$177,"C")&gt;0,"C",IF(COUNTIFS(Codificacion!$AH$2:$AH$177,1,Codificacion!$B$2:$B$177,"Cuenta básica",Auditoria_ECG0!$H$2:$H$177,"G")&gt;0,"G","0")))</f>
        <v>0</v>
      </c>
      <c r="D23" s="17" t="str">
        <f aca="false">IF(COUNTIFS(Codificacion!$AH$2:$AH$177,1,Codificacion!$B$2:$B$177,"AML",Auditoria_ECG0!$H$2:$H$177,"E")&gt;0,"E",IF(COUNTIFS(Codificacion!$AH$2:$AH$177,1,Codificacion!$B$2:$B$177,"AML",Auditoria_ECG0!$H$2:$H$177,"C")&gt;0,"C",IF(COUNTIFS(Codificacion!$AH$2:$AH$177,1,Codificacion!$B$2:$B$177,"AML",Auditoria_ECG0!$H$2:$H$177,"G")&gt;0,"G","0")))</f>
        <v>E</v>
      </c>
      <c r="E23" s="17" t="str">
        <f aca="false">IF(COUNTIFS(Codificacion!$AH$2:$AH$177,1,Codificacion!$B$2:$B$177,"Directrices EBA",Auditoria_ECG0!$H$2:$H$177,"E")&gt;0,"E",IF(COUNTIFS(Codificacion!$AH$2:$AH$177,1,Codificacion!$B$2:$B$177,"Directrices EBA",Auditoria_ECG0!$H$2:$H$177,"C")&gt;0,"C",IF(COUNTIFS(Codificacion!$AH$2:$AH$177,1,Codificacion!$B$2:$B$177,"Directrices EBA",Auditoria_ECG0!$H$2:$H$177,"G")&gt;0,"G","0")))</f>
        <v>E</v>
      </c>
      <c r="F23" s="17" t="str">
        <f aca="false">IF(COUNTIFS(Codificacion!$AH$2:$AH$177,1,Codificacion!$B$2:$B$177,"RGPD",Auditoria_ECG0!$H$2:$H$177,"E")&gt;0,"E",IF(COUNTIFS(Codificacion!$AH$2:$AH$177,1,Codificacion!$B$2:$B$177,"RGPD",Auditoria_ECG0!$H$2:$H$177,"C")&gt;0,"C",IF(COUNTIFS(Codificacion!$AH$2:$AH$177,1,Codificacion!$B$2:$B$177,"RGPD",Auditoria_ECG0!$H$2:$H$177,"G")&gt;0,"G","0")))</f>
        <v>0</v>
      </c>
      <c r="G23" s="17" t="str">
        <f aca="false">IF(COUNTIFS(Codificacion!$AH$2:$AH$177,1,Codificacion!$B$2:$B$177,"AI Act",Auditoria_ECG0!$H$2:$H$177,"E")&gt;0,"E",IF(COUNTIFS(Codificacion!$AH$2:$AH$177,1,Codificacion!$B$2:$B$177,"AI Act",Auditoria_ECG0!$H$2:$H$177,"C")&gt;0,"C",IF(COUNTIFS(Codificacion!$AH$2:$AH$177,1,Codificacion!$B$2:$B$177,"AI Act",Auditoria_ECG0!$H$2:$H$177,"G")&gt;0,"G","0")))</f>
        <v>0</v>
      </c>
      <c r="H23" s="17" t="str">
        <f aca="false">IF(COUNTIFS(Codificacion!$AH$2:$AH$177,1,Codificacion!$B$2:$B$177,"DORA",Auditoria_ECG0!$H$2:$H$177,"E")&gt;0,"E",IF(COUNTIFS(Codificacion!$AH$2:$AH$177,1,Codificacion!$B$2:$B$177,"DORA",Auditoria_ECG0!$H$2:$H$177,"C")&gt;0,"C",IF(COUNTIFS(Codificacion!$AH$2:$AH$177,1,Codificacion!$B$2:$B$177,"DORA",Auditoria_ECG0!$H$2:$H$177,"G")&gt;0,"G","0")))</f>
        <v>0</v>
      </c>
      <c r="I23" s="17" t="str">
        <f aca="false">IF(COUNTIFS(Codificacion!$AH$2:$AH$177,1,Codificacion!$B$2:$B$177,"eIDAS 2",Auditoria_ECG0!$H$2:$H$177,"E")&gt;0,"E",IF(COUNTIFS(Codificacion!$AH$2:$AH$177,1,Codificacion!$B$2:$B$177,"eIDAS 2",Auditoria_ECG0!$H$2:$H$177,"C")&gt;0,"C",IF(COUNTIFS(Codificacion!$AH$2:$AH$177,1,Codificacion!$B$2:$B$177,"eIDAS 2",Auditoria_ECG0!$H$2:$H$177,"G")&gt;0,"G","0")))</f>
        <v>0</v>
      </c>
      <c r="J23" s="17" t="str">
        <f aca="false">IF(COUNTIFS(Codificacion!$AH$2:$AH$177,1,Codificacion!$B$2:$B$177,"Accesibilidad",Auditoria_ECG0!$H$2:$H$177,"E")&gt;0,"E",IF(COUNTIFS(Codificacion!$AH$2:$AH$177,1,Codificacion!$B$2:$B$177,"Accesibilidad",Auditoria_ECG0!$H$2:$H$177,"C")&gt;0,"C",IF(COUNTIFS(Codificacion!$AH$2:$AH$177,1,Codificacion!$B$2:$B$177,"Accesibilidad",Auditoria_ECG0!$H$2:$H$177,"G")&gt;0,"G","0")))</f>
        <v>0</v>
      </c>
      <c r="K23" s="17" t="str">
        <f aca="false">IF(COUNTIFS(Codificacion!$AH$2:$AH$177,1,Codificacion!$B$2:$B$177,"Atención al cliente ES",Auditoria_ECG0!$H$2:$H$177,"E")&gt;0,"E",IF(COUNTIFS(Codificacion!$AH$2:$AH$177,1,Codificacion!$B$2:$B$177,"Atención al cliente ES",Auditoria_ECG0!$H$2:$H$177,"C")&gt;0,"C",IF(COUNTIFS(Codificacion!$AH$2:$AH$177,1,Codificacion!$B$2:$B$177,"Atención al cliente ES",Auditoria_ECG0!$H$2:$H$177,"G")&gt;0,"G","0")))</f>
        <v>0</v>
      </c>
    </row>
    <row r="24" customFormat="false" ht="15" hidden="false" customHeight="true" outlineLevel="0" collapsed="false">
      <c r="A24" s="8" t="s">
        <v>186</v>
      </c>
      <c r="B24" s="10" t="s">
        <v>149</v>
      </c>
      <c r="C24" s="17" t="str">
        <f aca="false">IF(COUNTIFS(Codificacion!$AI$2:$AI$177,1,Codificacion!$B$2:$B$177,"Cuenta básica",Auditoria_ECG0!$H$2:$H$177,"E")&gt;0,"E",IF(COUNTIFS(Codificacion!$AI$2:$AI$177,1,Codificacion!$B$2:$B$177,"Cuenta básica",Auditoria_ECG0!$H$2:$H$177,"C")&gt;0,"C",IF(COUNTIFS(Codificacion!$AI$2:$AI$177,1,Codificacion!$B$2:$B$177,"Cuenta básica",Auditoria_ECG0!$H$2:$H$177,"G")&gt;0,"G","0")))</f>
        <v>C</v>
      </c>
      <c r="D24" s="17" t="str">
        <f aca="false">IF(COUNTIFS(Codificacion!$AI$2:$AI$177,1,Codificacion!$B$2:$B$177,"AML",Auditoria_ECG0!$H$2:$H$177,"E")&gt;0,"E",IF(COUNTIFS(Codificacion!$AI$2:$AI$177,1,Codificacion!$B$2:$B$177,"AML",Auditoria_ECG0!$H$2:$H$177,"C")&gt;0,"C",IF(COUNTIFS(Codificacion!$AI$2:$AI$177,1,Codificacion!$B$2:$B$177,"AML",Auditoria_ECG0!$H$2:$H$177,"G")&gt;0,"G","0")))</f>
        <v>E</v>
      </c>
      <c r="E24" s="17" t="str">
        <f aca="false">IF(COUNTIFS(Codificacion!$AI$2:$AI$177,1,Codificacion!$B$2:$B$177,"Directrices EBA",Auditoria_ECG0!$H$2:$H$177,"E")&gt;0,"E",IF(COUNTIFS(Codificacion!$AI$2:$AI$177,1,Codificacion!$B$2:$B$177,"Directrices EBA",Auditoria_ECG0!$H$2:$H$177,"C")&gt;0,"C",IF(COUNTIFS(Codificacion!$AI$2:$AI$177,1,Codificacion!$B$2:$B$177,"Directrices EBA",Auditoria_ECG0!$H$2:$H$177,"G")&gt;0,"G","0")))</f>
        <v>E</v>
      </c>
      <c r="F24" s="17" t="str">
        <f aca="false">IF(COUNTIFS(Codificacion!$AI$2:$AI$177,1,Codificacion!$B$2:$B$177,"RGPD",Auditoria_ECG0!$H$2:$H$177,"E")&gt;0,"E",IF(COUNTIFS(Codificacion!$AI$2:$AI$177,1,Codificacion!$B$2:$B$177,"RGPD",Auditoria_ECG0!$H$2:$H$177,"C")&gt;0,"C",IF(COUNTIFS(Codificacion!$AI$2:$AI$177,1,Codificacion!$B$2:$B$177,"RGPD",Auditoria_ECG0!$H$2:$H$177,"G")&gt;0,"G","0")))</f>
        <v>0</v>
      </c>
      <c r="G24" s="17" t="str">
        <f aca="false">IF(COUNTIFS(Codificacion!$AI$2:$AI$177,1,Codificacion!$B$2:$B$177,"AI Act",Auditoria_ECG0!$H$2:$H$177,"E")&gt;0,"E",IF(COUNTIFS(Codificacion!$AI$2:$AI$177,1,Codificacion!$B$2:$B$177,"AI Act",Auditoria_ECG0!$H$2:$H$177,"C")&gt;0,"C",IF(COUNTIFS(Codificacion!$AI$2:$AI$177,1,Codificacion!$B$2:$B$177,"AI Act",Auditoria_ECG0!$H$2:$H$177,"G")&gt;0,"G","0")))</f>
        <v>0</v>
      </c>
      <c r="H24" s="17" t="str">
        <f aca="false">IF(COUNTIFS(Codificacion!$AI$2:$AI$177,1,Codificacion!$B$2:$B$177,"DORA",Auditoria_ECG0!$H$2:$H$177,"E")&gt;0,"E",IF(COUNTIFS(Codificacion!$AI$2:$AI$177,1,Codificacion!$B$2:$B$177,"DORA",Auditoria_ECG0!$H$2:$H$177,"C")&gt;0,"C",IF(COUNTIFS(Codificacion!$AI$2:$AI$177,1,Codificacion!$B$2:$B$177,"DORA",Auditoria_ECG0!$H$2:$H$177,"G")&gt;0,"G","0")))</f>
        <v>0</v>
      </c>
      <c r="I24" s="17" t="str">
        <f aca="false">IF(COUNTIFS(Codificacion!$AI$2:$AI$177,1,Codificacion!$B$2:$B$177,"eIDAS 2",Auditoria_ECG0!$H$2:$H$177,"E")&gt;0,"E",IF(COUNTIFS(Codificacion!$AI$2:$AI$177,1,Codificacion!$B$2:$B$177,"eIDAS 2",Auditoria_ECG0!$H$2:$H$177,"C")&gt;0,"C",IF(COUNTIFS(Codificacion!$AI$2:$AI$177,1,Codificacion!$B$2:$B$177,"eIDAS 2",Auditoria_ECG0!$H$2:$H$177,"G")&gt;0,"G","0")))</f>
        <v>0</v>
      </c>
      <c r="J24" s="17" t="str">
        <f aca="false">IF(COUNTIFS(Codificacion!$AI$2:$AI$177,1,Codificacion!$B$2:$B$177,"Accesibilidad",Auditoria_ECG0!$H$2:$H$177,"E")&gt;0,"E",IF(COUNTIFS(Codificacion!$AI$2:$AI$177,1,Codificacion!$B$2:$B$177,"Accesibilidad",Auditoria_ECG0!$H$2:$H$177,"C")&gt;0,"C",IF(COUNTIFS(Codificacion!$AI$2:$AI$177,1,Codificacion!$B$2:$B$177,"Accesibilidad",Auditoria_ECG0!$H$2:$H$177,"G")&gt;0,"G","0")))</f>
        <v>0</v>
      </c>
      <c r="K24" s="17" t="str">
        <f aca="false">IF(COUNTIFS(Codificacion!$AI$2:$AI$177,1,Codificacion!$B$2:$B$177,"Atención al cliente ES",Auditoria_ECG0!$H$2:$H$177,"E")&gt;0,"E",IF(COUNTIFS(Codificacion!$AI$2:$AI$177,1,Codificacion!$B$2:$B$177,"Atención al cliente ES",Auditoria_ECG0!$H$2:$H$177,"C")&gt;0,"C",IF(COUNTIFS(Codificacion!$AI$2:$AI$177,1,Codificacion!$B$2:$B$177,"Atención al cliente ES",Auditoria_ECG0!$H$2:$H$177,"G")&gt;0,"G","0")))</f>
        <v>0</v>
      </c>
    </row>
    <row r="25" customFormat="false" ht="15" hidden="false" customHeight="true" outlineLevel="0" collapsed="false">
      <c r="A25" s="8" t="s">
        <v>187</v>
      </c>
      <c r="B25" s="10" t="s">
        <v>1059</v>
      </c>
      <c r="C25" s="17" t="str">
        <f aca="false">IF(COUNTIFS(Codificacion!$AJ$2:$AJ$177,1,Codificacion!$B$2:$B$177,"Cuenta básica",Auditoria_ECG0!$H$2:$H$177,"E")&gt;0,"E",IF(COUNTIFS(Codificacion!$AJ$2:$AJ$177,1,Codificacion!$B$2:$B$177,"Cuenta básica",Auditoria_ECG0!$H$2:$H$177,"C")&gt;0,"C",IF(COUNTIFS(Codificacion!$AJ$2:$AJ$177,1,Codificacion!$B$2:$B$177,"Cuenta básica",Auditoria_ECG0!$H$2:$H$177,"G")&gt;0,"G","0")))</f>
        <v>0</v>
      </c>
      <c r="D25" s="17" t="str">
        <f aca="false">IF(COUNTIFS(Codificacion!$AJ$2:$AJ$177,1,Codificacion!$B$2:$B$177,"AML",Auditoria_ECG0!$H$2:$H$177,"E")&gt;0,"E",IF(COUNTIFS(Codificacion!$AJ$2:$AJ$177,1,Codificacion!$B$2:$B$177,"AML",Auditoria_ECG0!$H$2:$H$177,"C")&gt;0,"C",IF(COUNTIFS(Codificacion!$AJ$2:$AJ$177,1,Codificacion!$B$2:$B$177,"AML",Auditoria_ECG0!$H$2:$H$177,"G")&gt;0,"G","0")))</f>
        <v>E</v>
      </c>
      <c r="E25" s="17" t="str">
        <f aca="false">IF(COUNTIFS(Codificacion!$AJ$2:$AJ$177,1,Codificacion!$B$2:$B$177,"Directrices EBA",Auditoria_ECG0!$H$2:$H$177,"E")&gt;0,"E",IF(COUNTIFS(Codificacion!$AJ$2:$AJ$177,1,Codificacion!$B$2:$B$177,"Directrices EBA",Auditoria_ECG0!$H$2:$H$177,"C")&gt;0,"C",IF(COUNTIFS(Codificacion!$AJ$2:$AJ$177,1,Codificacion!$B$2:$B$177,"Directrices EBA",Auditoria_ECG0!$H$2:$H$177,"G")&gt;0,"G","0")))</f>
        <v>C</v>
      </c>
      <c r="F25" s="17" t="str">
        <f aca="false">IF(COUNTIFS(Codificacion!$AJ$2:$AJ$177,1,Codificacion!$B$2:$B$177,"RGPD",Auditoria_ECG0!$H$2:$H$177,"E")&gt;0,"E",IF(COUNTIFS(Codificacion!$AJ$2:$AJ$177,1,Codificacion!$B$2:$B$177,"RGPD",Auditoria_ECG0!$H$2:$H$177,"C")&gt;0,"C",IF(COUNTIFS(Codificacion!$AJ$2:$AJ$177,1,Codificacion!$B$2:$B$177,"RGPD",Auditoria_ECG0!$H$2:$H$177,"G")&gt;0,"G","0")))</f>
        <v>G</v>
      </c>
      <c r="G25" s="17" t="str">
        <f aca="false">IF(COUNTIFS(Codificacion!$AJ$2:$AJ$177,1,Codificacion!$B$2:$B$177,"AI Act",Auditoria_ECG0!$H$2:$H$177,"E")&gt;0,"E",IF(COUNTIFS(Codificacion!$AJ$2:$AJ$177,1,Codificacion!$B$2:$B$177,"AI Act",Auditoria_ECG0!$H$2:$H$177,"C")&gt;0,"C",IF(COUNTIFS(Codificacion!$AJ$2:$AJ$177,1,Codificacion!$B$2:$B$177,"AI Act",Auditoria_ECG0!$H$2:$H$177,"G")&gt;0,"G","0")))</f>
        <v>C</v>
      </c>
      <c r="H25" s="17" t="str">
        <f aca="false">IF(COUNTIFS(Codificacion!$AJ$2:$AJ$177,1,Codificacion!$B$2:$B$177,"DORA",Auditoria_ECG0!$H$2:$H$177,"E")&gt;0,"E",IF(COUNTIFS(Codificacion!$AJ$2:$AJ$177,1,Codificacion!$B$2:$B$177,"DORA",Auditoria_ECG0!$H$2:$H$177,"C")&gt;0,"C",IF(COUNTIFS(Codificacion!$AJ$2:$AJ$177,1,Codificacion!$B$2:$B$177,"DORA",Auditoria_ECG0!$H$2:$H$177,"G")&gt;0,"G","0")))</f>
        <v>0</v>
      </c>
      <c r="I25" s="17" t="str">
        <f aca="false">IF(COUNTIFS(Codificacion!$AJ$2:$AJ$177,1,Codificacion!$B$2:$B$177,"eIDAS 2",Auditoria_ECG0!$H$2:$H$177,"E")&gt;0,"E",IF(COUNTIFS(Codificacion!$AJ$2:$AJ$177,1,Codificacion!$B$2:$B$177,"eIDAS 2",Auditoria_ECG0!$H$2:$H$177,"C")&gt;0,"C",IF(COUNTIFS(Codificacion!$AJ$2:$AJ$177,1,Codificacion!$B$2:$B$177,"eIDAS 2",Auditoria_ECG0!$H$2:$H$177,"G")&gt;0,"G","0")))</f>
        <v>0</v>
      </c>
      <c r="J25" s="17" t="str">
        <f aca="false">IF(COUNTIFS(Codificacion!$AJ$2:$AJ$177,1,Codificacion!$B$2:$B$177,"Accesibilidad",Auditoria_ECG0!$H$2:$H$177,"E")&gt;0,"E",IF(COUNTIFS(Codificacion!$AJ$2:$AJ$177,1,Codificacion!$B$2:$B$177,"Accesibilidad",Auditoria_ECG0!$H$2:$H$177,"C")&gt;0,"C",IF(COUNTIFS(Codificacion!$AJ$2:$AJ$177,1,Codificacion!$B$2:$B$177,"Accesibilidad",Auditoria_ECG0!$H$2:$H$177,"G")&gt;0,"G","0")))</f>
        <v>0</v>
      </c>
      <c r="K25" s="17" t="str">
        <f aca="false">IF(COUNTIFS(Codificacion!$AJ$2:$AJ$177,1,Codificacion!$B$2:$B$177,"Atención al cliente ES",Auditoria_ECG0!$H$2:$H$177,"E")&gt;0,"E",IF(COUNTIFS(Codificacion!$AJ$2:$AJ$177,1,Codificacion!$B$2:$B$177,"Atención al cliente ES",Auditoria_ECG0!$H$2:$H$177,"C")&gt;0,"C",IF(COUNTIFS(Codificacion!$AJ$2:$AJ$177,1,Codificacion!$B$2:$B$177,"Atención al cliente ES",Auditoria_ECG0!$H$2:$H$177,"G")&gt;0,"G","0")))</f>
        <v>0</v>
      </c>
    </row>
    <row r="26" customFormat="false" ht="15" hidden="false" customHeight="true" outlineLevel="0" collapsed="false">
      <c r="A26" s="8" t="s">
        <v>188</v>
      </c>
      <c r="B26" s="10" t="s">
        <v>1060</v>
      </c>
      <c r="C26" s="17" t="str">
        <f aca="false">IF(COUNTIFS(Codificacion!$AK$2:$AK$177,1,Codificacion!$B$2:$B$177,"Cuenta básica",Auditoria_ECG0!$H$2:$H$177,"E")&gt;0,"E",IF(COUNTIFS(Codificacion!$AK$2:$AK$177,1,Codificacion!$B$2:$B$177,"Cuenta básica",Auditoria_ECG0!$H$2:$H$177,"C")&gt;0,"C",IF(COUNTIFS(Codificacion!$AK$2:$AK$177,1,Codificacion!$B$2:$B$177,"Cuenta básica",Auditoria_ECG0!$H$2:$H$177,"G")&gt;0,"G","0")))</f>
        <v>C</v>
      </c>
      <c r="D26" s="17" t="str">
        <f aca="false">IF(COUNTIFS(Codificacion!$AK$2:$AK$177,1,Codificacion!$B$2:$B$177,"AML",Auditoria_ECG0!$H$2:$H$177,"E")&gt;0,"E",IF(COUNTIFS(Codificacion!$AK$2:$AK$177,1,Codificacion!$B$2:$B$177,"AML",Auditoria_ECG0!$H$2:$H$177,"C")&gt;0,"C",IF(COUNTIFS(Codificacion!$AK$2:$AK$177,1,Codificacion!$B$2:$B$177,"AML",Auditoria_ECG0!$H$2:$H$177,"G")&gt;0,"G","0")))</f>
        <v>C</v>
      </c>
      <c r="E26" s="17" t="str">
        <f aca="false">IF(COUNTIFS(Codificacion!$AK$2:$AK$177,1,Codificacion!$B$2:$B$177,"Directrices EBA",Auditoria_ECG0!$H$2:$H$177,"E")&gt;0,"E",IF(COUNTIFS(Codificacion!$AK$2:$AK$177,1,Codificacion!$B$2:$B$177,"Directrices EBA",Auditoria_ECG0!$H$2:$H$177,"C")&gt;0,"C",IF(COUNTIFS(Codificacion!$AK$2:$AK$177,1,Codificacion!$B$2:$B$177,"Directrices EBA",Auditoria_ECG0!$H$2:$H$177,"G")&gt;0,"G","0")))</f>
        <v>0</v>
      </c>
      <c r="F26" s="17" t="str">
        <f aca="false">IF(COUNTIFS(Codificacion!$AK$2:$AK$177,1,Codificacion!$B$2:$B$177,"RGPD",Auditoria_ECG0!$H$2:$H$177,"E")&gt;0,"E",IF(COUNTIFS(Codificacion!$AK$2:$AK$177,1,Codificacion!$B$2:$B$177,"RGPD",Auditoria_ECG0!$H$2:$H$177,"C")&gt;0,"C",IF(COUNTIFS(Codificacion!$AK$2:$AK$177,1,Codificacion!$B$2:$B$177,"RGPD",Auditoria_ECG0!$H$2:$H$177,"G")&gt;0,"G","0")))</f>
        <v>0</v>
      </c>
      <c r="G26" s="17" t="str">
        <f aca="false">IF(COUNTIFS(Codificacion!$AK$2:$AK$177,1,Codificacion!$B$2:$B$177,"AI Act",Auditoria_ECG0!$H$2:$H$177,"E")&gt;0,"E",IF(COUNTIFS(Codificacion!$AK$2:$AK$177,1,Codificacion!$B$2:$B$177,"AI Act",Auditoria_ECG0!$H$2:$H$177,"C")&gt;0,"C",IF(COUNTIFS(Codificacion!$AK$2:$AK$177,1,Codificacion!$B$2:$B$177,"AI Act",Auditoria_ECG0!$H$2:$H$177,"G")&gt;0,"G","0")))</f>
        <v>0</v>
      </c>
      <c r="H26" s="17" t="str">
        <f aca="false">IF(COUNTIFS(Codificacion!$AK$2:$AK$177,1,Codificacion!$B$2:$B$177,"DORA",Auditoria_ECG0!$H$2:$H$177,"E")&gt;0,"E",IF(COUNTIFS(Codificacion!$AK$2:$AK$177,1,Codificacion!$B$2:$B$177,"DORA",Auditoria_ECG0!$H$2:$H$177,"C")&gt;0,"C",IF(COUNTIFS(Codificacion!$AK$2:$AK$177,1,Codificacion!$B$2:$B$177,"DORA",Auditoria_ECG0!$H$2:$H$177,"G")&gt;0,"G","0")))</f>
        <v>0</v>
      </c>
      <c r="I26" s="17" t="str">
        <f aca="false">IF(COUNTIFS(Codificacion!$AK$2:$AK$177,1,Codificacion!$B$2:$B$177,"eIDAS 2",Auditoria_ECG0!$H$2:$H$177,"E")&gt;0,"E",IF(COUNTIFS(Codificacion!$AK$2:$AK$177,1,Codificacion!$B$2:$B$177,"eIDAS 2",Auditoria_ECG0!$H$2:$H$177,"C")&gt;0,"C",IF(COUNTIFS(Codificacion!$AK$2:$AK$177,1,Codificacion!$B$2:$B$177,"eIDAS 2",Auditoria_ECG0!$H$2:$H$177,"G")&gt;0,"G","0")))</f>
        <v>0</v>
      </c>
      <c r="J26" s="17" t="str">
        <f aca="false">IF(COUNTIFS(Codificacion!$AK$2:$AK$177,1,Codificacion!$B$2:$B$177,"Accesibilidad",Auditoria_ECG0!$H$2:$H$177,"E")&gt;0,"E",IF(COUNTIFS(Codificacion!$AK$2:$AK$177,1,Codificacion!$B$2:$B$177,"Accesibilidad",Auditoria_ECG0!$H$2:$H$177,"C")&gt;0,"C",IF(COUNTIFS(Codificacion!$AK$2:$AK$177,1,Codificacion!$B$2:$B$177,"Accesibilidad",Auditoria_ECG0!$H$2:$H$177,"G")&gt;0,"G","0")))</f>
        <v>0</v>
      </c>
      <c r="K26" s="17" t="str">
        <f aca="false">IF(COUNTIFS(Codificacion!$AK$2:$AK$177,1,Codificacion!$B$2:$B$177,"Atención al cliente ES",Auditoria_ECG0!$H$2:$H$177,"E")&gt;0,"E",IF(COUNTIFS(Codificacion!$AK$2:$AK$177,1,Codificacion!$B$2:$B$177,"Atención al cliente ES",Auditoria_ECG0!$H$2:$H$177,"C")&gt;0,"C",IF(COUNTIFS(Codificacion!$AK$2:$AK$177,1,Codificacion!$B$2:$B$177,"Atención al cliente ES",Auditoria_ECG0!$H$2:$H$177,"G")&gt;0,"G","0")))</f>
        <v>0</v>
      </c>
    </row>
    <row r="27" customFormat="false" ht="15" hidden="false" customHeight="true" outlineLevel="0" collapsed="false">
      <c r="A27" s="8" t="s">
        <v>189</v>
      </c>
      <c r="B27" s="10" t="s">
        <v>1061</v>
      </c>
      <c r="C27" s="17" t="str">
        <f aca="false">IF(COUNTIFS(Codificacion!$AL$2:$AL$177,1,Codificacion!$B$2:$B$177,"Cuenta básica",Auditoria_ECG0!$H$2:$H$177,"E")&gt;0,"E",IF(COUNTIFS(Codificacion!$AL$2:$AL$177,1,Codificacion!$B$2:$B$177,"Cuenta básica",Auditoria_ECG0!$H$2:$H$177,"C")&gt;0,"C",IF(COUNTIFS(Codificacion!$AL$2:$AL$177,1,Codificacion!$B$2:$B$177,"Cuenta básica",Auditoria_ECG0!$H$2:$H$177,"G")&gt;0,"G","0")))</f>
        <v>0</v>
      </c>
      <c r="D27" s="17" t="str">
        <f aca="false">IF(COUNTIFS(Codificacion!$AL$2:$AL$177,1,Codificacion!$B$2:$B$177,"AML",Auditoria_ECG0!$H$2:$H$177,"E")&gt;0,"E",IF(COUNTIFS(Codificacion!$AL$2:$AL$177,1,Codificacion!$B$2:$B$177,"AML",Auditoria_ECG0!$H$2:$H$177,"C")&gt;0,"C",IF(COUNTIFS(Codificacion!$AL$2:$AL$177,1,Codificacion!$B$2:$B$177,"AML",Auditoria_ECG0!$H$2:$H$177,"G")&gt;0,"G","0")))</f>
        <v>0</v>
      </c>
      <c r="E27" s="17" t="str">
        <f aca="false">IF(COUNTIFS(Codificacion!$AL$2:$AL$177,1,Codificacion!$B$2:$B$177,"Directrices EBA",Auditoria_ECG0!$H$2:$H$177,"E")&gt;0,"E",IF(COUNTIFS(Codificacion!$AL$2:$AL$177,1,Codificacion!$B$2:$B$177,"Directrices EBA",Auditoria_ECG0!$H$2:$H$177,"C")&gt;0,"C",IF(COUNTIFS(Codificacion!$AL$2:$AL$177,1,Codificacion!$B$2:$B$177,"Directrices EBA",Auditoria_ECG0!$H$2:$H$177,"G")&gt;0,"G","0")))</f>
        <v>0</v>
      </c>
      <c r="F27" s="17" t="str">
        <f aca="false">IF(COUNTIFS(Codificacion!$AL$2:$AL$177,1,Codificacion!$B$2:$B$177,"RGPD",Auditoria_ECG0!$H$2:$H$177,"E")&gt;0,"E",IF(COUNTIFS(Codificacion!$AL$2:$AL$177,1,Codificacion!$B$2:$B$177,"RGPD",Auditoria_ECG0!$H$2:$H$177,"C")&gt;0,"C",IF(COUNTIFS(Codificacion!$AL$2:$AL$177,1,Codificacion!$B$2:$B$177,"RGPD",Auditoria_ECG0!$H$2:$H$177,"G")&gt;0,"G","0")))</f>
        <v>0</v>
      </c>
      <c r="G27" s="17" t="str">
        <f aca="false">IF(COUNTIFS(Codificacion!$AL$2:$AL$177,1,Codificacion!$B$2:$B$177,"AI Act",Auditoria_ECG0!$H$2:$H$177,"E")&gt;0,"E",IF(COUNTIFS(Codificacion!$AL$2:$AL$177,1,Codificacion!$B$2:$B$177,"AI Act",Auditoria_ECG0!$H$2:$H$177,"C")&gt;0,"C",IF(COUNTIFS(Codificacion!$AL$2:$AL$177,1,Codificacion!$B$2:$B$177,"AI Act",Auditoria_ECG0!$H$2:$H$177,"G")&gt;0,"G","0")))</f>
        <v>0</v>
      </c>
      <c r="H27" s="17" t="str">
        <f aca="false">IF(COUNTIFS(Codificacion!$AL$2:$AL$177,1,Codificacion!$B$2:$B$177,"DORA",Auditoria_ECG0!$H$2:$H$177,"E")&gt;0,"E",IF(COUNTIFS(Codificacion!$AL$2:$AL$177,1,Codificacion!$B$2:$B$177,"DORA",Auditoria_ECG0!$H$2:$H$177,"C")&gt;0,"C",IF(COUNTIFS(Codificacion!$AL$2:$AL$177,1,Codificacion!$B$2:$B$177,"DORA",Auditoria_ECG0!$H$2:$H$177,"G")&gt;0,"G","0")))</f>
        <v>0</v>
      </c>
      <c r="I27" s="17" t="str">
        <f aca="false">IF(COUNTIFS(Codificacion!$AL$2:$AL$177,1,Codificacion!$B$2:$B$177,"eIDAS 2",Auditoria_ECG0!$H$2:$H$177,"E")&gt;0,"E",IF(COUNTIFS(Codificacion!$AL$2:$AL$177,1,Codificacion!$B$2:$B$177,"eIDAS 2",Auditoria_ECG0!$H$2:$H$177,"C")&gt;0,"C",IF(COUNTIFS(Codificacion!$AL$2:$AL$177,1,Codificacion!$B$2:$B$177,"eIDAS 2",Auditoria_ECG0!$H$2:$H$177,"G")&gt;0,"G","0")))</f>
        <v>0</v>
      </c>
      <c r="J27" s="17" t="str">
        <f aca="false">IF(COUNTIFS(Codificacion!$AL$2:$AL$177,1,Codificacion!$B$2:$B$177,"Accesibilidad",Auditoria_ECG0!$H$2:$H$177,"E")&gt;0,"E",IF(COUNTIFS(Codificacion!$AL$2:$AL$177,1,Codificacion!$B$2:$B$177,"Accesibilidad",Auditoria_ECG0!$H$2:$H$177,"C")&gt;0,"C",IF(COUNTIFS(Codificacion!$AL$2:$AL$177,1,Codificacion!$B$2:$B$177,"Accesibilidad",Auditoria_ECG0!$H$2:$H$177,"G")&gt;0,"G","0")))</f>
        <v>0</v>
      </c>
      <c r="K27" s="17" t="str">
        <f aca="false">IF(COUNTIFS(Codificacion!$AL$2:$AL$177,1,Codificacion!$B$2:$B$177,"Atención al cliente ES",Auditoria_ECG0!$H$2:$H$177,"E")&gt;0,"E",IF(COUNTIFS(Codificacion!$AL$2:$AL$177,1,Codificacion!$B$2:$B$177,"Atención al cliente ES",Auditoria_ECG0!$H$2:$H$177,"C")&gt;0,"C",IF(COUNTIFS(Codificacion!$AL$2:$AL$177,1,Codificacion!$B$2:$B$177,"Atención al cliente ES",Auditoria_ECG0!$H$2:$H$177,"G")&gt;0,"G","0")))</f>
        <v>0</v>
      </c>
    </row>
    <row r="28" customFormat="false" ht="15" hidden="false" customHeight="true" outlineLevel="0" collapsed="false">
      <c r="A28" s="8" t="s">
        <v>190</v>
      </c>
      <c r="B28" s="10" t="s">
        <v>155</v>
      </c>
      <c r="C28" s="17" t="str">
        <f aca="false">IF(COUNTIFS(Codificacion!$AM$2:$AM$177,1,Codificacion!$B$2:$B$177,"Cuenta básica",Auditoria_ECG0!$H$2:$H$177,"E")&gt;0,"E",IF(COUNTIFS(Codificacion!$AM$2:$AM$177,1,Codificacion!$B$2:$B$177,"Cuenta básica",Auditoria_ECG0!$H$2:$H$177,"C")&gt;0,"C",IF(COUNTIFS(Codificacion!$AM$2:$AM$177,1,Codificacion!$B$2:$B$177,"Cuenta básica",Auditoria_ECG0!$H$2:$H$177,"G")&gt;0,"G","0")))</f>
        <v>C</v>
      </c>
      <c r="D28" s="17" t="str">
        <f aca="false">IF(COUNTIFS(Codificacion!$AM$2:$AM$177,1,Codificacion!$B$2:$B$177,"AML",Auditoria_ECG0!$H$2:$H$177,"E")&gt;0,"E",IF(COUNTIFS(Codificacion!$AM$2:$AM$177,1,Codificacion!$B$2:$B$177,"AML",Auditoria_ECG0!$H$2:$H$177,"C")&gt;0,"C",IF(COUNTIFS(Codificacion!$AM$2:$AM$177,1,Codificacion!$B$2:$B$177,"AML",Auditoria_ECG0!$H$2:$H$177,"G")&gt;0,"G","0")))</f>
        <v>E</v>
      </c>
      <c r="E28" s="17" t="str">
        <f aca="false">IF(COUNTIFS(Codificacion!$AM$2:$AM$177,1,Codificacion!$B$2:$B$177,"Directrices EBA",Auditoria_ECG0!$H$2:$H$177,"E")&gt;0,"E",IF(COUNTIFS(Codificacion!$AM$2:$AM$177,1,Codificacion!$B$2:$B$177,"Directrices EBA",Auditoria_ECG0!$H$2:$H$177,"C")&gt;0,"C",IF(COUNTIFS(Codificacion!$AM$2:$AM$177,1,Codificacion!$B$2:$B$177,"Directrices EBA",Auditoria_ECG0!$H$2:$H$177,"G")&gt;0,"G","0")))</f>
        <v>0</v>
      </c>
      <c r="F28" s="17" t="str">
        <f aca="false">IF(COUNTIFS(Codificacion!$AM$2:$AM$177,1,Codificacion!$B$2:$B$177,"RGPD",Auditoria_ECG0!$H$2:$H$177,"E")&gt;0,"E",IF(COUNTIFS(Codificacion!$AM$2:$AM$177,1,Codificacion!$B$2:$B$177,"RGPD",Auditoria_ECG0!$H$2:$H$177,"C")&gt;0,"C",IF(COUNTIFS(Codificacion!$AM$2:$AM$177,1,Codificacion!$B$2:$B$177,"RGPD",Auditoria_ECG0!$H$2:$H$177,"G")&gt;0,"G","0")))</f>
        <v>0</v>
      </c>
      <c r="G28" s="17" t="str">
        <f aca="false">IF(COUNTIFS(Codificacion!$AM$2:$AM$177,1,Codificacion!$B$2:$B$177,"AI Act",Auditoria_ECG0!$H$2:$H$177,"E")&gt;0,"E",IF(COUNTIFS(Codificacion!$AM$2:$AM$177,1,Codificacion!$B$2:$B$177,"AI Act",Auditoria_ECG0!$H$2:$H$177,"C")&gt;0,"C",IF(COUNTIFS(Codificacion!$AM$2:$AM$177,1,Codificacion!$B$2:$B$177,"AI Act",Auditoria_ECG0!$H$2:$H$177,"G")&gt;0,"G","0")))</f>
        <v>0</v>
      </c>
      <c r="H28" s="17" t="str">
        <f aca="false">IF(COUNTIFS(Codificacion!$AM$2:$AM$177,1,Codificacion!$B$2:$B$177,"DORA",Auditoria_ECG0!$H$2:$H$177,"E")&gt;0,"E",IF(COUNTIFS(Codificacion!$AM$2:$AM$177,1,Codificacion!$B$2:$B$177,"DORA",Auditoria_ECG0!$H$2:$H$177,"C")&gt;0,"C",IF(COUNTIFS(Codificacion!$AM$2:$AM$177,1,Codificacion!$B$2:$B$177,"DORA",Auditoria_ECG0!$H$2:$H$177,"G")&gt;0,"G","0")))</f>
        <v>0</v>
      </c>
      <c r="I28" s="17" t="str">
        <f aca="false">IF(COUNTIFS(Codificacion!$AM$2:$AM$177,1,Codificacion!$B$2:$B$177,"eIDAS 2",Auditoria_ECG0!$H$2:$H$177,"E")&gt;0,"E",IF(COUNTIFS(Codificacion!$AM$2:$AM$177,1,Codificacion!$B$2:$B$177,"eIDAS 2",Auditoria_ECG0!$H$2:$H$177,"C")&gt;0,"C",IF(COUNTIFS(Codificacion!$AM$2:$AM$177,1,Codificacion!$B$2:$B$177,"eIDAS 2",Auditoria_ECG0!$H$2:$H$177,"G")&gt;0,"G","0")))</f>
        <v>0</v>
      </c>
      <c r="J28" s="17" t="str">
        <f aca="false">IF(COUNTIFS(Codificacion!$AM$2:$AM$177,1,Codificacion!$B$2:$B$177,"Accesibilidad",Auditoria_ECG0!$H$2:$H$177,"E")&gt;0,"E",IF(COUNTIFS(Codificacion!$AM$2:$AM$177,1,Codificacion!$B$2:$B$177,"Accesibilidad",Auditoria_ECG0!$H$2:$H$177,"C")&gt;0,"C",IF(COUNTIFS(Codificacion!$AM$2:$AM$177,1,Codificacion!$B$2:$B$177,"Accesibilidad",Auditoria_ECG0!$H$2:$H$177,"G")&gt;0,"G","0")))</f>
        <v>0</v>
      </c>
      <c r="K28" s="17" t="str">
        <f aca="false">IF(COUNTIFS(Codificacion!$AM$2:$AM$177,1,Codificacion!$B$2:$B$177,"Atención al cliente ES",Auditoria_ECG0!$H$2:$H$177,"E")&gt;0,"E",IF(COUNTIFS(Codificacion!$AM$2:$AM$177,1,Codificacion!$B$2:$B$177,"Atención al cliente ES",Auditoria_ECG0!$H$2:$H$177,"C")&gt;0,"C",IF(COUNTIFS(Codificacion!$AM$2:$AM$177,1,Codificacion!$B$2:$B$177,"Atención al cliente ES",Auditoria_ECG0!$H$2:$H$177,"G")&gt;0,"G","0")))</f>
        <v>0</v>
      </c>
    </row>
    <row r="29" customFormat="false" ht="15" hidden="false" customHeight="true" outlineLevel="0" collapsed="false">
      <c r="A29" s="8" t="s">
        <v>191</v>
      </c>
      <c r="B29" s="10" t="s">
        <v>157</v>
      </c>
      <c r="C29" s="17" t="str">
        <f aca="false">IF(COUNTIFS(Codificacion!$AN$2:$AN$177,1,Codificacion!$B$2:$B$177,"Cuenta básica",Auditoria_ECG0!$H$2:$H$177,"E")&gt;0,"E",IF(COUNTIFS(Codificacion!$AN$2:$AN$177,1,Codificacion!$B$2:$B$177,"Cuenta básica",Auditoria_ECG0!$H$2:$H$177,"C")&gt;0,"C",IF(COUNTIFS(Codificacion!$AN$2:$AN$177,1,Codificacion!$B$2:$B$177,"Cuenta básica",Auditoria_ECG0!$H$2:$H$177,"G")&gt;0,"G","0")))</f>
        <v>E</v>
      </c>
      <c r="D29" s="17" t="str">
        <f aca="false">IF(COUNTIFS(Codificacion!$AN$2:$AN$177,1,Codificacion!$B$2:$B$177,"AML",Auditoria_ECG0!$H$2:$H$177,"E")&gt;0,"E",IF(COUNTIFS(Codificacion!$AN$2:$AN$177,1,Codificacion!$B$2:$B$177,"AML",Auditoria_ECG0!$H$2:$H$177,"C")&gt;0,"C",IF(COUNTIFS(Codificacion!$AN$2:$AN$177,1,Codificacion!$B$2:$B$177,"AML",Auditoria_ECG0!$H$2:$H$177,"G")&gt;0,"G","0")))</f>
        <v>E</v>
      </c>
      <c r="E29" s="17" t="str">
        <f aca="false">IF(COUNTIFS(Codificacion!$AN$2:$AN$177,1,Codificacion!$B$2:$B$177,"Directrices EBA",Auditoria_ECG0!$H$2:$H$177,"E")&gt;0,"E",IF(COUNTIFS(Codificacion!$AN$2:$AN$177,1,Codificacion!$B$2:$B$177,"Directrices EBA",Auditoria_ECG0!$H$2:$H$177,"C")&gt;0,"C",IF(COUNTIFS(Codificacion!$AN$2:$AN$177,1,Codificacion!$B$2:$B$177,"Directrices EBA",Auditoria_ECG0!$H$2:$H$177,"G")&gt;0,"G","0")))</f>
        <v>E</v>
      </c>
      <c r="F29" s="17" t="str">
        <f aca="false">IF(COUNTIFS(Codificacion!$AN$2:$AN$177,1,Codificacion!$B$2:$B$177,"RGPD",Auditoria_ECG0!$H$2:$H$177,"E")&gt;0,"E",IF(COUNTIFS(Codificacion!$AN$2:$AN$177,1,Codificacion!$B$2:$B$177,"RGPD",Auditoria_ECG0!$H$2:$H$177,"C")&gt;0,"C",IF(COUNTIFS(Codificacion!$AN$2:$AN$177,1,Codificacion!$B$2:$B$177,"RGPD",Auditoria_ECG0!$H$2:$H$177,"G")&gt;0,"G","0")))</f>
        <v>G</v>
      </c>
      <c r="G29" s="17" t="str">
        <f aca="false">IF(COUNTIFS(Codificacion!$AN$2:$AN$177,1,Codificacion!$B$2:$B$177,"AI Act",Auditoria_ECG0!$H$2:$H$177,"E")&gt;0,"E",IF(COUNTIFS(Codificacion!$AN$2:$AN$177,1,Codificacion!$B$2:$B$177,"AI Act",Auditoria_ECG0!$H$2:$H$177,"C")&gt;0,"C",IF(COUNTIFS(Codificacion!$AN$2:$AN$177,1,Codificacion!$B$2:$B$177,"AI Act",Auditoria_ECG0!$H$2:$H$177,"G")&gt;0,"G","0")))</f>
        <v>C</v>
      </c>
      <c r="H29" s="17" t="str">
        <f aca="false">IF(COUNTIFS(Codificacion!$AN$2:$AN$177,1,Codificacion!$B$2:$B$177,"DORA",Auditoria_ECG0!$H$2:$H$177,"E")&gt;0,"E",IF(COUNTIFS(Codificacion!$AN$2:$AN$177,1,Codificacion!$B$2:$B$177,"DORA",Auditoria_ECG0!$H$2:$H$177,"C")&gt;0,"C",IF(COUNTIFS(Codificacion!$AN$2:$AN$177,1,Codificacion!$B$2:$B$177,"DORA",Auditoria_ECG0!$H$2:$H$177,"G")&gt;0,"G","0")))</f>
        <v>0</v>
      </c>
      <c r="I29" s="17" t="str">
        <f aca="false">IF(COUNTIFS(Codificacion!$AN$2:$AN$177,1,Codificacion!$B$2:$B$177,"eIDAS 2",Auditoria_ECG0!$H$2:$H$177,"E")&gt;0,"E",IF(COUNTIFS(Codificacion!$AN$2:$AN$177,1,Codificacion!$B$2:$B$177,"eIDAS 2",Auditoria_ECG0!$H$2:$H$177,"C")&gt;0,"C",IF(COUNTIFS(Codificacion!$AN$2:$AN$177,1,Codificacion!$B$2:$B$177,"eIDAS 2",Auditoria_ECG0!$H$2:$H$177,"G")&gt;0,"G","0")))</f>
        <v>0</v>
      </c>
      <c r="J29" s="17" t="str">
        <f aca="false">IF(COUNTIFS(Codificacion!$AN$2:$AN$177,1,Codificacion!$B$2:$B$177,"Accesibilidad",Auditoria_ECG0!$H$2:$H$177,"E")&gt;0,"E",IF(COUNTIFS(Codificacion!$AN$2:$AN$177,1,Codificacion!$B$2:$B$177,"Accesibilidad",Auditoria_ECG0!$H$2:$H$177,"C")&gt;0,"C",IF(COUNTIFS(Codificacion!$AN$2:$AN$177,1,Codificacion!$B$2:$B$177,"Accesibilidad",Auditoria_ECG0!$H$2:$H$177,"G")&gt;0,"G","0")))</f>
        <v>0</v>
      </c>
      <c r="K29" s="17" t="str">
        <f aca="false">IF(COUNTIFS(Codificacion!$AN$2:$AN$177,1,Codificacion!$B$2:$B$177,"Atención al cliente ES",Auditoria_ECG0!$H$2:$H$177,"E")&gt;0,"E",IF(COUNTIFS(Codificacion!$AN$2:$AN$177,1,Codificacion!$B$2:$B$177,"Atención al cliente ES",Auditoria_ECG0!$H$2:$H$177,"C")&gt;0,"C",IF(COUNTIFS(Codificacion!$AN$2:$AN$177,1,Codificacion!$B$2:$B$177,"Atención al cliente ES",Auditoria_ECG0!$H$2:$H$177,"G")&gt;0,"G","0")))</f>
        <v>C</v>
      </c>
    </row>
    <row r="30" customFormat="false" ht="15" hidden="false" customHeight="true" outlineLevel="0" collapsed="false">
      <c r="A30" s="8" t="s">
        <v>192</v>
      </c>
      <c r="B30" s="10" t="s">
        <v>159</v>
      </c>
      <c r="C30" s="17" t="str">
        <f aca="false">IF(COUNTIFS(Codificacion!$AO$2:$AO$177,1,Codificacion!$B$2:$B$177,"Cuenta básica",Auditoria_ECG0!$H$2:$H$177,"E")&gt;0,"E",IF(COUNTIFS(Codificacion!$AO$2:$AO$177,1,Codificacion!$B$2:$B$177,"Cuenta básica",Auditoria_ECG0!$H$2:$H$177,"C")&gt;0,"C",IF(COUNTIFS(Codificacion!$AO$2:$AO$177,1,Codificacion!$B$2:$B$177,"Cuenta básica",Auditoria_ECG0!$H$2:$H$177,"G")&gt;0,"G","0")))</f>
        <v>E</v>
      </c>
      <c r="D30" s="17" t="str">
        <f aca="false">IF(COUNTIFS(Codificacion!$AO$2:$AO$177,1,Codificacion!$B$2:$B$177,"AML",Auditoria_ECG0!$H$2:$H$177,"E")&gt;0,"E",IF(COUNTIFS(Codificacion!$AO$2:$AO$177,1,Codificacion!$B$2:$B$177,"AML",Auditoria_ECG0!$H$2:$H$177,"C")&gt;0,"C",IF(COUNTIFS(Codificacion!$AO$2:$AO$177,1,Codificacion!$B$2:$B$177,"AML",Auditoria_ECG0!$H$2:$H$177,"G")&gt;0,"G","0")))</f>
        <v>E</v>
      </c>
      <c r="E30" s="17" t="str">
        <f aca="false">IF(COUNTIFS(Codificacion!$AO$2:$AO$177,1,Codificacion!$B$2:$B$177,"Directrices EBA",Auditoria_ECG0!$H$2:$H$177,"E")&gt;0,"E",IF(COUNTIFS(Codificacion!$AO$2:$AO$177,1,Codificacion!$B$2:$B$177,"Directrices EBA",Auditoria_ECG0!$H$2:$H$177,"C")&gt;0,"C",IF(COUNTIFS(Codificacion!$AO$2:$AO$177,1,Codificacion!$B$2:$B$177,"Directrices EBA",Auditoria_ECG0!$H$2:$H$177,"G")&gt;0,"G","0")))</f>
        <v>C</v>
      </c>
      <c r="F30" s="17" t="str">
        <f aca="false">IF(COUNTIFS(Codificacion!$AO$2:$AO$177,1,Codificacion!$B$2:$B$177,"RGPD",Auditoria_ECG0!$H$2:$H$177,"E")&gt;0,"E",IF(COUNTIFS(Codificacion!$AO$2:$AO$177,1,Codificacion!$B$2:$B$177,"RGPD",Auditoria_ECG0!$H$2:$H$177,"C")&gt;0,"C",IF(COUNTIFS(Codificacion!$AO$2:$AO$177,1,Codificacion!$B$2:$B$177,"RGPD",Auditoria_ECG0!$H$2:$H$177,"G")&gt;0,"G","0")))</f>
        <v>0</v>
      </c>
      <c r="G30" s="17" t="str">
        <f aca="false">IF(COUNTIFS(Codificacion!$AO$2:$AO$177,1,Codificacion!$B$2:$B$177,"AI Act",Auditoria_ECG0!$H$2:$H$177,"E")&gt;0,"E",IF(COUNTIFS(Codificacion!$AO$2:$AO$177,1,Codificacion!$B$2:$B$177,"AI Act",Auditoria_ECG0!$H$2:$H$177,"C")&gt;0,"C",IF(COUNTIFS(Codificacion!$AO$2:$AO$177,1,Codificacion!$B$2:$B$177,"AI Act",Auditoria_ECG0!$H$2:$H$177,"G")&gt;0,"G","0")))</f>
        <v>0</v>
      </c>
      <c r="H30" s="17" t="str">
        <f aca="false">IF(COUNTIFS(Codificacion!$AO$2:$AO$177,1,Codificacion!$B$2:$B$177,"DORA",Auditoria_ECG0!$H$2:$H$177,"E")&gt;0,"E",IF(COUNTIFS(Codificacion!$AO$2:$AO$177,1,Codificacion!$B$2:$B$177,"DORA",Auditoria_ECG0!$H$2:$H$177,"C")&gt;0,"C",IF(COUNTIFS(Codificacion!$AO$2:$AO$177,1,Codificacion!$B$2:$B$177,"DORA",Auditoria_ECG0!$H$2:$H$177,"G")&gt;0,"G","0")))</f>
        <v>0</v>
      </c>
      <c r="I30" s="17" t="str">
        <f aca="false">IF(COUNTIFS(Codificacion!$AO$2:$AO$177,1,Codificacion!$B$2:$B$177,"eIDAS 2",Auditoria_ECG0!$H$2:$H$177,"E")&gt;0,"E",IF(COUNTIFS(Codificacion!$AO$2:$AO$177,1,Codificacion!$B$2:$B$177,"eIDAS 2",Auditoria_ECG0!$H$2:$H$177,"C")&gt;0,"C",IF(COUNTIFS(Codificacion!$AO$2:$AO$177,1,Codificacion!$B$2:$B$177,"eIDAS 2",Auditoria_ECG0!$H$2:$H$177,"G")&gt;0,"G","0")))</f>
        <v>0</v>
      </c>
      <c r="J30" s="17" t="str">
        <f aca="false">IF(COUNTIFS(Codificacion!$AO$2:$AO$177,1,Codificacion!$B$2:$B$177,"Accesibilidad",Auditoria_ECG0!$H$2:$H$177,"E")&gt;0,"E",IF(COUNTIFS(Codificacion!$AO$2:$AO$177,1,Codificacion!$B$2:$B$177,"Accesibilidad",Auditoria_ECG0!$H$2:$H$177,"C")&gt;0,"C",IF(COUNTIFS(Codificacion!$AO$2:$AO$177,1,Codificacion!$B$2:$B$177,"Accesibilidad",Auditoria_ECG0!$H$2:$H$177,"G")&gt;0,"G","0")))</f>
        <v>0</v>
      </c>
      <c r="K30" s="17" t="str">
        <f aca="false">IF(COUNTIFS(Codificacion!$AO$2:$AO$177,1,Codificacion!$B$2:$B$177,"Atención al cliente ES",Auditoria_ECG0!$H$2:$H$177,"E")&gt;0,"E",IF(COUNTIFS(Codificacion!$AO$2:$AO$177,1,Codificacion!$B$2:$B$177,"Atención al cliente ES",Auditoria_ECG0!$H$2:$H$177,"C")&gt;0,"C",IF(COUNTIFS(Codificacion!$AO$2:$AO$177,1,Codificacion!$B$2:$B$177,"Atención al cliente ES",Auditoria_ECG0!$H$2:$H$177,"G")&gt;0,"G","0")))</f>
        <v>C</v>
      </c>
    </row>
  </sheetData>
  <mergeCells count="1">
    <mergeCell ref="A2:L2"/>
  </mergeCells>
  <conditionalFormatting sqref="C6:K16">
    <cfRule type="cellIs" priority="2" operator="equal" aboveAverage="0" equalAverage="0" bottom="0" percent="0" rank="0" text="" dxfId="4">
      <formula>"E"</formula>
    </cfRule>
    <cfRule type="cellIs" priority="3" operator="equal" aboveAverage="0" equalAverage="0" bottom="0" percent="0" rank="0" text="" dxfId="5">
      <formula>"C"</formula>
    </cfRule>
    <cfRule type="cellIs" priority="4" operator="equal" aboveAverage="0" equalAverage="0" bottom="0" percent="0" rank="0" text="" dxfId="6">
      <formula>"G"</formula>
    </cfRule>
    <cfRule type="cellIs" priority="5" operator="equal" aboveAverage="0" equalAverage="0" bottom="0" percent="0" rank="0" text="" dxfId="3">
      <formula>"0"</formula>
    </cfRule>
  </conditionalFormatting>
  <conditionalFormatting sqref="C20:K30">
    <cfRule type="cellIs" priority="6" operator="equal" aboveAverage="0" equalAverage="0" bottom="0" percent="0" rank="0" text="" dxfId="4">
      <formula>"E"</formula>
    </cfRule>
    <cfRule type="cellIs" priority="7" operator="equal" aboveAverage="0" equalAverage="0" bottom="0" percent="0" rank="0" text="" dxfId="5">
      <formula>"C"</formula>
    </cfRule>
    <cfRule type="cellIs" priority="8" operator="equal" aboveAverage="0" equalAverage="0" bottom="0" percent="0" rank="0" text="" dxfId="6">
      <formula>"G"</formula>
    </cfRule>
    <cfRule type="cellIs" priority="9" operator="equal" aboveAverage="0" equalAverage="0" bottom="0" percent="0" rank="0" text="" dxfId="3">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36"/>
    <col collapsed="false" customWidth="true" hidden="false" outlineLevel="0" max="5" min="4" style="1" width="12"/>
    <col collapsed="false" customWidth="true" hidden="false" outlineLevel="0" max="6" min="6" style="1" width="22"/>
    <col collapsed="false" customWidth="true" hidden="false" outlineLevel="0" max="7" min="7" style="1" width="40"/>
    <col collapsed="false" customWidth="true" hidden="false" outlineLevel="0" max="8" min="8" style="1" width="34"/>
    <col collapsed="false" customWidth="true" hidden="false" outlineLevel="0" max="9" min="9" style="1" width="48"/>
    <col collapsed="false" customWidth="true" hidden="false" outlineLevel="0" max="10" min="10" style="1" width="46"/>
  </cols>
  <sheetData>
    <row r="1" customFormat="false" ht="23.25" hidden="false" customHeight="true" outlineLevel="0" collapsed="false">
      <c r="A1" s="15" t="s">
        <v>35</v>
      </c>
      <c r="B1" s="15" t="s">
        <v>1184</v>
      </c>
      <c r="C1" s="15" t="s">
        <v>1185</v>
      </c>
      <c r="D1" s="15" t="s">
        <v>1186</v>
      </c>
      <c r="E1" s="15" t="s">
        <v>1187</v>
      </c>
      <c r="F1" s="15" t="s">
        <v>1188</v>
      </c>
      <c r="G1" s="15" t="s">
        <v>1189</v>
      </c>
      <c r="H1" s="15" t="s">
        <v>1190</v>
      </c>
      <c r="I1" s="15" t="s">
        <v>1191</v>
      </c>
      <c r="J1" s="15" t="s">
        <v>1192</v>
      </c>
    </row>
    <row r="2" customFormat="false" ht="147" hidden="false" customHeight="true" outlineLevel="0" collapsed="false">
      <c r="A2" s="4" t="s">
        <v>57</v>
      </c>
      <c r="B2" s="4" t="s">
        <v>1193</v>
      </c>
      <c r="C2" s="4" t="s">
        <v>1194</v>
      </c>
      <c r="D2" s="4" t="n">
        <v>2</v>
      </c>
      <c r="E2" s="4" t="n">
        <v>2</v>
      </c>
      <c r="F2" s="4" t="s">
        <v>160</v>
      </c>
      <c r="G2" s="4" t="s">
        <v>1195</v>
      </c>
      <c r="H2" s="4" t="s">
        <v>1196</v>
      </c>
      <c r="I2" s="4" t="s">
        <v>1197</v>
      </c>
      <c r="J2" s="4" t="s">
        <v>1198</v>
      </c>
    </row>
    <row r="3" customFormat="false" ht="147" hidden="false" customHeight="true" outlineLevel="0" collapsed="false">
      <c r="A3" s="4" t="s">
        <v>99</v>
      </c>
      <c r="B3" s="4" t="s">
        <v>1199</v>
      </c>
      <c r="C3" s="4" t="s">
        <v>1200</v>
      </c>
      <c r="D3" s="4" t="n">
        <v>5</v>
      </c>
      <c r="E3" s="4" t="n">
        <v>4</v>
      </c>
      <c r="F3" s="4" t="s">
        <v>160</v>
      </c>
      <c r="G3" s="4" t="s">
        <v>1195</v>
      </c>
      <c r="H3" s="4" t="s">
        <v>1196</v>
      </c>
      <c r="I3" s="4" t="s">
        <v>1197</v>
      </c>
      <c r="J3" s="4" t="s">
        <v>1198</v>
      </c>
    </row>
    <row r="4" customFormat="false" ht="68.25" hidden="false" customHeight="true" outlineLevel="0" collapsed="false">
      <c r="A4" s="4" t="s">
        <v>118</v>
      </c>
      <c r="B4" s="4" t="s">
        <v>1201</v>
      </c>
      <c r="C4" s="4" t="s">
        <v>1202</v>
      </c>
      <c r="D4" s="4" t="n">
        <v>7</v>
      </c>
      <c r="E4" s="4" t="n">
        <v>5</v>
      </c>
      <c r="F4" s="4" t="s">
        <v>160</v>
      </c>
      <c r="G4" s="4" t="s">
        <v>1195</v>
      </c>
      <c r="H4" s="4" t="s">
        <v>1196</v>
      </c>
      <c r="I4" s="4" t="s">
        <v>1203</v>
      </c>
      <c r="J4" s="4" t="s">
        <v>1204</v>
      </c>
    </row>
    <row r="5" customFormat="false" ht="113.25" hidden="false" customHeight="true" outlineLevel="0" collapsed="false">
      <c r="A5" s="4" t="s">
        <v>46</v>
      </c>
      <c r="B5" s="4" t="s">
        <v>1205</v>
      </c>
      <c r="C5" s="4" t="s">
        <v>1206</v>
      </c>
      <c r="D5" s="4" t="n">
        <v>6</v>
      </c>
      <c r="E5" s="4" t="n">
        <v>3</v>
      </c>
      <c r="F5" s="4" t="s">
        <v>160</v>
      </c>
      <c r="G5" s="4" t="s">
        <v>1195</v>
      </c>
      <c r="H5" s="4" t="s">
        <v>1196</v>
      </c>
      <c r="I5" s="4" t="s">
        <v>1203</v>
      </c>
      <c r="J5" s="4" t="s">
        <v>1207</v>
      </c>
    </row>
    <row r="6" customFormat="false" ht="90.75" hidden="false" customHeight="true" outlineLevel="0" collapsed="false">
      <c r="A6" s="4" t="s">
        <v>111</v>
      </c>
      <c r="B6" s="4" t="s">
        <v>1208</v>
      </c>
      <c r="C6" s="4" t="s">
        <v>1209</v>
      </c>
      <c r="D6" s="4" t="n">
        <v>2</v>
      </c>
      <c r="E6" s="4" t="n">
        <v>2</v>
      </c>
      <c r="F6" s="4" t="s">
        <v>160</v>
      </c>
      <c r="G6" s="4" t="s">
        <v>1195</v>
      </c>
      <c r="H6" s="4" t="s">
        <v>1196</v>
      </c>
      <c r="I6" s="4" t="s">
        <v>1210</v>
      </c>
      <c r="J6" s="4" t="s">
        <v>1211</v>
      </c>
    </row>
    <row r="7" customFormat="false" ht="68.25" hidden="false" customHeight="true" outlineLevel="0" collapsed="false">
      <c r="A7" s="4" t="s">
        <v>93</v>
      </c>
      <c r="B7" s="4" t="s">
        <v>1212</v>
      </c>
      <c r="C7" s="4" t="s">
        <v>1213</v>
      </c>
      <c r="D7" s="4" t="n">
        <v>8</v>
      </c>
      <c r="E7" s="4" t="n">
        <v>5</v>
      </c>
      <c r="F7" s="4" t="s">
        <v>160</v>
      </c>
      <c r="G7" s="4" t="s">
        <v>1195</v>
      </c>
      <c r="H7" s="4" t="s">
        <v>1196</v>
      </c>
      <c r="I7" s="4" t="s">
        <v>1203</v>
      </c>
      <c r="J7" s="4" t="s">
        <v>1214</v>
      </c>
    </row>
    <row r="8" customFormat="false" ht="113.25" hidden="false" customHeight="true" outlineLevel="0" collapsed="false">
      <c r="A8" s="4" t="s">
        <v>106</v>
      </c>
      <c r="B8" s="4" t="s">
        <v>1215</v>
      </c>
      <c r="C8" s="4" t="s">
        <v>1216</v>
      </c>
      <c r="D8" s="4" t="n">
        <v>5</v>
      </c>
      <c r="E8" s="4" t="n">
        <v>5</v>
      </c>
      <c r="F8" s="4" t="s">
        <v>160</v>
      </c>
      <c r="G8" s="4" t="s">
        <v>1195</v>
      </c>
      <c r="H8" s="4" t="s">
        <v>1196</v>
      </c>
      <c r="I8" s="4" t="s">
        <v>1197</v>
      </c>
      <c r="J8" s="4" t="s">
        <v>1217</v>
      </c>
    </row>
    <row r="9" customFormat="false" ht="90.75" hidden="false" customHeight="true" outlineLevel="0" collapsed="false">
      <c r="A9" s="4" t="s">
        <v>85</v>
      </c>
      <c r="B9" s="4" t="s">
        <v>1218</v>
      </c>
      <c r="C9" s="4" t="s">
        <v>1219</v>
      </c>
      <c r="D9" s="4" t="n">
        <v>2</v>
      </c>
      <c r="E9" s="4" t="n">
        <v>3</v>
      </c>
      <c r="F9" s="4" t="s">
        <v>160</v>
      </c>
      <c r="G9" s="4" t="s">
        <v>1195</v>
      </c>
      <c r="H9" s="4" t="s">
        <v>1196</v>
      </c>
      <c r="I9" s="4" t="s">
        <v>1220</v>
      </c>
      <c r="J9" s="4" t="s">
        <v>1221</v>
      </c>
    </row>
    <row r="10" customFormat="false" ht="68.25" hidden="false" customHeight="true" outlineLevel="0" collapsed="false">
      <c r="A10" s="4" t="s">
        <v>77</v>
      </c>
      <c r="B10" s="4" t="s">
        <v>1222</v>
      </c>
      <c r="C10" s="4" t="s">
        <v>1202</v>
      </c>
      <c r="D10" s="4" t="n">
        <v>6</v>
      </c>
      <c r="E10" s="4" t="n">
        <v>5</v>
      </c>
      <c r="F10" s="4" t="s">
        <v>160</v>
      </c>
      <c r="G10" s="4" t="s">
        <v>1195</v>
      </c>
      <c r="H10" s="4" t="s">
        <v>1196</v>
      </c>
      <c r="I10" s="4" t="s">
        <v>1203</v>
      </c>
      <c r="J10" s="4" t="s">
        <v>1204</v>
      </c>
    </row>
    <row r="11" customFormat="false" ht="90.75" hidden="false" customHeight="true" outlineLevel="0" collapsed="false">
      <c r="A11" s="4" t="s">
        <v>114</v>
      </c>
      <c r="B11" s="4" t="s">
        <v>1223</v>
      </c>
      <c r="C11" s="4" t="s">
        <v>1224</v>
      </c>
      <c r="D11" s="4" t="n">
        <v>3</v>
      </c>
      <c r="E11" s="4" t="n">
        <v>4</v>
      </c>
      <c r="F11" s="4" t="s">
        <v>160</v>
      </c>
      <c r="G11" s="4" t="s">
        <v>1195</v>
      </c>
      <c r="H11" s="4" t="s">
        <v>1196</v>
      </c>
      <c r="I11" s="4" t="s">
        <v>1210</v>
      </c>
      <c r="J11" s="4" t="s">
        <v>1211</v>
      </c>
    </row>
    <row r="12" customFormat="false" ht="68.25" hidden="false" customHeight="true" outlineLevel="0" collapsed="false">
      <c r="A12" s="4" t="s">
        <v>68</v>
      </c>
      <c r="B12" s="4" t="s">
        <v>1225</v>
      </c>
      <c r="C12" s="4" t="s">
        <v>1226</v>
      </c>
      <c r="D12" s="4" t="n">
        <v>3</v>
      </c>
      <c r="E12" s="4" t="n">
        <v>3</v>
      </c>
      <c r="F12" s="4" t="s">
        <v>160</v>
      </c>
      <c r="G12" s="4" t="s">
        <v>1195</v>
      </c>
      <c r="H12" s="4" t="s">
        <v>1196</v>
      </c>
      <c r="I12" s="4" t="s">
        <v>1197</v>
      </c>
      <c r="J12" s="4" t="s">
        <v>1227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2026-10-05T22:51:01Z</dcterms:created>
  <dc:creator>openpyxl</dc:creator>
  <dc:description/>
  <dc:language>en-US</dc:language>
  <cp:lastModifiedBy/>
  <dcterms:modified xsi:type="dcterms:W3CDTF">2026-10-06T17:02:03Z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